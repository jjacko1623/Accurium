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20" yWindow="120" windowWidth="21075" windowHeight="7995" activeTab="1"/>
  </bookViews>
  <sheets>
    <sheet name="Manual" sheetId="4" r:id="rId1"/>
    <sheet name="Input" sheetId="2" r:id="rId2"/>
    <sheet name="Output" sheetId="3" r:id="rId3"/>
    <sheet name="Methodology" sheetId="5" r:id="rId4"/>
    <sheet name="Calcs" sheetId="7" r:id="rId5"/>
    <sheet name="Pension 1" sheetId="8" r:id="rId6"/>
    <sheet name="Schedules &amp; Tables" sheetId="6" r:id="rId7"/>
    <sheet name="Useful code" sheetId="9" r:id="rId8"/>
  </sheets>
  <externalReferences>
    <externalReference r:id="rId9"/>
  </externalReferences>
  <definedNames>
    <definedName name="A_Values">OFFSET('[1]Input Form'!#REF!,1,0,COUNT('[1]Input Form'!$I$105:$I$118),1)</definedName>
    <definedName name="ALO_Values">OFFSET('[1]Input Form'!#REF!,1,0,COUNT('[1]Input Form'!$L$105:$L$118),1)</definedName>
    <definedName name="ALT02Trend">'[1]ALT Tables'!$AT$10:$AX$129</definedName>
    <definedName name="ALT07Trend">'[1]ALT Tables'!$AZ$10:$BD$120</definedName>
    <definedName name="ALT12Trend">'[1]ALT Tables'!$BF$10:$BJ$120</definedName>
    <definedName name="ALTUsed">Output!$G$7</definedName>
    <definedName name="B_Values">OFFSET('[1]Input Form'!#REF!,1,0,COUNT('[1]Input Form'!$J$105:$J$118),1)</definedName>
    <definedName name="Both_Values">OFFSET('[1]Input Form'!#REF!,1,0,COUNT('[1]Input Form'!$K$105:$K$118),1)</definedName>
    <definedName name="Chart_Labels">OFFSET('[1]Input Form'!#REF!,1,0,COUNT('[1]Input Form'!$D$105:$D$118),1)</definedName>
    <definedName name="CommAmt">Input!$G$28</definedName>
    <definedName name="CommDateDD">Input!$G$26</definedName>
    <definedName name="CommDateMM">Input!$H$26</definedName>
    <definedName name="CommDateYYYY">Input!$J$26</definedName>
    <definedName name="DaysinFY" localSheetId="4">'[1]Schedules &amp; Tables'!$F$16:$G$18</definedName>
    <definedName name="DaysinFY" localSheetId="5">'[1]Schedules &amp; Tables'!$F$16:$G$18</definedName>
    <definedName name="DaysinFY">'Schedules &amp; Tables'!$F$16:$G$18</definedName>
    <definedName name="DOBM1DD">Input!$E$9</definedName>
    <definedName name="DOBM1MM">Input!$F$9</definedName>
    <definedName name="DOBM1YYYY">Input!$G$9</definedName>
    <definedName name="DOBM2DD">Input!$E$17</definedName>
    <definedName name="DOBM2MM">Input!$F$17</definedName>
    <definedName name="DOBM2YYYY">Input!$G$17</definedName>
    <definedName name="FundName">'[1]Input Form'!$F$20</definedName>
    <definedName name="GenderM1">Input!$E$11</definedName>
    <definedName name="GenderM2">Input!$E$19</definedName>
    <definedName name="IsReversionary">Input!$F$13</definedName>
    <definedName name="M1Name">Input!$E$7</definedName>
    <definedName name="MaxTermM1">Output!$D$11</definedName>
    <definedName name="MaxTermM2">Output!$E$11</definedName>
    <definedName name="MinTermM1">Output!$D$9</definedName>
    <definedName name="MinTermM2">Output!$E$9</definedName>
    <definedName name="MLPABPdate" localSheetId="4">'[1]Schedules &amp; Tables'!$F$26</definedName>
    <definedName name="MLPABPdate" localSheetId="5">'[1]Schedules &amp; Tables'!$F$26</definedName>
    <definedName name="MLPABPdate">'Schedules &amp; Tables'!$F$26</definedName>
    <definedName name="NameM1">Input!$E$7</definedName>
    <definedName name="NameM2">Input!$E$15</definedName>
    <definedName name="PensionTypes">'Schedules &amp; Tables'!$F$4:$F$6</definedName>
    <definedName name="Schedule6" localSheetId="4">'[1]Schedules &amp; Tables'!$A$17:$B$87</definedName>
    <definedName name="Schedule6" localSheetId="5">'[1]Schedules &amp; Tables'!$A$17:$B$87</definedName>
    <definedName name="Schedule6">'Schedules &amp; Tables'!$A$17:$B$87</definedName>
    <definedName name="Schedule7" localSheetId="4">'[1]Schedules &amp; Tables'!$A$5:$C$11</definedName>
    <definedName name="Schedule7" localSheetId="5">'[1]Schedules &amp; Tables'!$A$5:$C$11</definedName>
    <definedName name="Schedule7">'Schedules &amp; Tables'!$A$5:$C$11</definedName>
  </definedNames>
  <calcPr calcId="145621"/>
</workbook>
</file>

<file path=xl/calcChain.xml><?xml version="1.0" encoding="utf-8"?>
<calcChain xmlns="http://schemas.openxmlformats.org/spreadsheetml/2006/main">
  <c r="F7" i="8" l="1"/>
  <c r="F38" i="8" s="1"/>
  <c r="E7" i="8"/>
  <c r="E38" i="8" s="1"/>
  <c r="D7" i="8"/>
  <c r="D38" i="8" s="1"/>
  <c r="C7" i="8"/>
  <c r="C38" i="8" s="1"/>
  <c r="E41" i="7"/>
  <c r="D41" i="7"/>
  <c r="C41" i="7"/>
  <c r="B41" i="7"/>
  <c r="E37" i="7"/>
  <c r="E39" i="7" s="1"/>
  <c r="D37" i="7"/>
  <c r="D39" i="7" s="1"/>
  <c r="C37" i="7"/>
  <c r="C39" i="7" s="1"/>
  <c r="B37" i="7"/>
  <c r="B39" i="7" s="1"/>
  <c r="E35" i="7"/>
  <c r="E36" i="7" s="1"/>
  <c r="D35" i="7"/>
  <c r="D36" i="7" s="1"/>
  <c r="C35" i="7"/>
  <c r="C36" i="7" s="1"/>
  <c r="B35" i="7"/>
  <c r="B36" i="7" s="1"/>
  <c r="E34" i="7"/>
  <c r="D34" i="7"/>
  <c r="C34" i="7"/>
  <c r="B34" i="7"/>
  <c r="E32" i="7"/>
  <c r="E33" i="7" s="1"/>
  <c r="D32" i="7"/>
  <c r="D33" i="7" s="1"/>
  <c r="C32" i="7"/>
  <c r="C33" i="7" s="1"/>
  <c r="B32" i="7"/>
  <c r="B33" i="7" s="1"/>
  <c r="E31" i="7"/>
  <c r="D31" i="7"/>
  <c r="C31" i="7"/>
  <c r="B31" i="7"/>
  <c r="E28" i="7"/>
  <c r="E30" i="7" s="1"/>
  <c r="D28" i="7"/>
  <c r="D30" i="7" s="1"/>
  <c r="C28" i="7"/>
  <c r="C30" i="7" s="1"/>
  <c r="B28" i="7"/>
  <c r="B30" i="7" s="1"/>
  <c r="E26" i="7"/>
  <c r="E27" i="7" s="1"/>
  <c r="D26" i="7"/>
  <c r="D27" i="7" s="1"/>
  <c r="C26" i="7"/>
  <c r="C27" i="7" s="1"/>
  <c r="B26" i="7"/>
  <c r="B27" i="7" s="1"/>
  <c r="E25" i="7"/>
  <c r="D25" i="7"/>
  <c r="C25" i="7"/>
  <c r="B25" i="7"/>
  <c r="E23" i="7"/>
  <c r="E24" i="7" s="1"/>
  <c r="D23" i="7"/>
  <c r="D24" i="7" s="1"/>
  <c r="C23" i="7"/>
  <c r="C24" i="7" s="1"/>
  <c r="B23" i="7"/>
  <c r="B24" i="7" s="1"/>
  <c r="E22" i="7"/>
  <c r="D22" i="7"/>
  <c r="C22" i="7"/>
  <c r="B22" i="7"/>
  <c r="E19" i="7"/>
  <c r="E21" i="7" s="1"/>
  <c r="D19" i="7"/>
  <c r="D21" i="7" s="1"/>
  <c r="C19" i="7"/>
  <c r="C21" i="7" s="1"/>
  <c r="B19" i="7"/>
  <c r="B21" i="7" s="1"/>
  <c r="E17" i="7"/>
  <c r="E18" i="7" s="1"/>
  <c r="D17" i="7"/>
  <c r="D18" i="7" s="1"/>
  <c r="C17" i="7"/>
  <c r="C18" i="7" s="1"/>
  <c r="B17" i="7"/>
  <c r="B18" i="7" s="1"/>
  <c r="E16" i="7"/>
  <c r="D16" i="7"/>
  <c r="C16" i="7"/>
  <c r="B16" i="7"/>
  <c r="E14" i="7"/>
  <c r="E15" i="7" s="1"/>
  <c r="D14" i="7"/>
  <c r="D15" i="7" s="1"/>
  <c r="C14" i="7"/>
  <c r="C15" i="7" s="1"/>
  <c r="B14" i="7"/>
  <c r="B15" i="7" s="1"/>
  <c r="E13" i="7"/>
  <c r="D13" i="7"/>
  <c r="C13" i="7"/>
  <c r="B13" i="7"/>
  <c r="E12" i="7"/>
  <c r="D12" i="7"/>
  <c r="C12" i="7"/>
  <c r="B12" i="7"/>
  <c r="B7" i="7"/>
  <c r="B6" i="7"/>
  <c r="B8" i="7" s="1"/>
  <c r="B44" i="7" l="1"/>
  <c r="C70" i="8"/>
  <c r="C69" i="8"/>
  <c r="C68" i="8"/>
  <c r="C66" i="8"/>
  <c r="C65" i="8"/>
  <c r="C64" i="8"/>
  <c r="C62" i="8"/>
  <c r="C61" i="8"/>
  <c r="C56" i="8"/>
  <c r="C55" i="8"/>
  <c r="C53" i="8"/>
  <c r="C52" i="8"/>
  <c r="C51" i="8"/>
  <c r="C50" i="8"/>
  <c r="C48" i="8"/>
  <c r="C47" i="8"/>
  <c r="C45" i="8"/>
  <c r="C44" i="8"/>
  <c r="C43" i="8"/>
  <c r="C41" i="8"/>
  <c r="C40" i="8"/>
  <c r="D70" i="8"/>
  <c r="D69" i="8"/>
  <c r="D68" i="8"/>
  <c r="D66" i="8"/>
  <c r="D65" i="8"/>
  <c r="D64" i="8"/>
  <c r="D62" i="8"/>
  <c r="D61" i="8"/>
  <c r="D56" i="8"/>
  <c r="D55" i="8"/>
  <c r="D53" i="8"/>
  <c r="D52" i="8"/>
  <c r="D51" i="8"/>
  <c r="D50" i="8"/>
  <c r="D48" i="8"/>
  <c r="D47" i="8"/>
  <c r="D45" i="8"/>
  <c r="D44" i="8"/>
  <c r="D43" i="8"/>
  <c r="D41" i="8"/>
  <c r="D40" i="8"/>
  <c r="E70" i="8"/>
  <c r="E69" i="8"/>
  <c r="E68" i="8"/>
  <c r="E66" i="8"/>
  <c r="E65" i="8"/>
  <c r="E64" i="8"/>
  <c r="E62" i="8"/>
  <c r="E61" i="8"/>
  <c r="E56" i="8"/>
  <c r="E55" i="8"/>
  <c r="E53" i="8"/>
  <c r="E52" i="8"/>
  <c r="E51" i="8"/>
  <c r="E50" i="8"/>
  <c r="E48" i="8"/>
  <c r="E47" i="8"/>
  <c r="E45" i="8"/>
  <c r="E44" i="8"/>
  <c r="E43" i="8"/>
  <c r="E41" i="8"/>
  <c r="E40" i="8"/>
  <c r="F70" i="8"/>
  <c r="F69" i="8"/>
  <c r="F68" i="8"/>
  <c r="F66" i="8"/>
  <c r="F65" i="8"/>
  <c r="F64" i="8"/>
  <c r="F62" i="8"/>
  <c r="F61" i="8"/>
  <c r="F56" i="8"/>
  <c r="F55" i="8"/>
  <c r="F53" i="8"/>
  <c r="F52" i="8"/>
  <c r="F51" i="8"/>
  <c r="F50" i="8"/>
  <c r="F48" i="8"/>
  <c r="F47" i="8"/>
  <c r="F45" i="8"/>
  <c r="F44" i="8"/>
  <c r="F43" i="8"/>
  <c r="F41" i="8"/>
  <c r="F40" i="8"/>
  <c r="C10" i="8"/>
  <c r="C24" i="8"/>
  <c r="D10" i="8"/>
  <c r="D24" i="8"/>
  <c r="E10" i="8"/>
  <c r="E24" i="8"/>
  <c r="F10" i="8"/>
  <c r="F24" i="8"/>
  <c r="C20" i="7"/>
  <c r="C29" i="7"/>
  <c r="C38" i="7"/>
  <c r="D20" i="7"/>
  <c r="D29" i="7"/>
  <c r="D38" i="7"/>
  <c r="E20" i="7"/>
  <c r="E29" i="7"/>
  <c r="E38" i="7"/>
  <c r="B20" i="7"/>
  <c r="B29" i="7"/>
  <c r="B38" i="7"/>
  <c r="D21" i="8" l="1"/>
  <c r="D20" i="8"/>
  <c r="D18" i="8"/>
  <c r="D17" i="8"/>
  <c r="D15" i="8"/>
  <c r="D14" i="8"/>
  <c r="D13" i="8"/>
  <c r="D12" i="8"/>
  <c r="C21" i="8"/>
  <c r="C20" i="8"/>
  <c r="C18" i="8"/>
  <c r="C17" i="8"/>
  <c r="C15" i="8"/>
  <c r="C14" i="8"/>
  <c r="C13" i="8"/>
  <c r="C12" i="8"/>
  <c r="F35" i="8"/>
  <c r="F34" i="8"/>
  <c r="F32" i="8"/>
  <c r="F31" i="8"/>
  <c r="F29" i="8"/>
  <c r="F28" i="8"/>
  <c r="F27" i="8"/>
  <c r="F26" i="8"/>
  <c r="D35" i="8"/>
  <c r="D34" i="8"/>
  <c r="D32" i="8"/>
  <c r="D31" i="8"/>
  <c r="D29" i="8"/>
  <c r="D28" i="8"/>
  <c r="D27" i="8"/>
  <c r="D26" i="8"/>
  <c r="F21" i="8"/>
  <c r="F20" i="8"/>
  <c r="F18" i="8"/>
  <c r="F76" i="8" s="1"/>
  <c r="F17" i="8"/>
  <c r="F15" i="8"/>
  <c r="F82" i="8" s="1"/>
  <c r="F14" i="8"/>
  <c r="F81" i="8" s="1"/>
  <c r="F13" i="8"/>
  <c r="F12" i="8"/>
  <c r="E35" i="8"/>
  <c r="E34" i="8"/>
  <c r="E32" i="8"/>
  <c r="E31" i="8"/>
  <c r="E29" i="8"/>
  <c r="E28" i="8"/>
  <c r="E27" i="8"/>
  <c r="E26" i="8"/>
  <c r="C35" i="8"/>
  <c r="C34" i="8"/>
  <c r="C32" i="8"/>
  <c r="C31" i="8"/>
  <c r="C29" i="8"/>
  <c r="C28" i="8"/>
  <c r="C27" i="8"/>
  <c r="C26" i="8"/>
  <c r="E21" i="8"/>
  <c r="E20" i="8"/>
  <c r="E18" i="8"/>
  <c r="E76" i="8" s="1"/>
  <c r="E17" i="8"/>
  <c r="E15" i="8"/>
  <c r="E82" i="8" s="1"/>
  <c r="E14" i="8"/>
  <c r="E81" i="8" s="1"/>
  <c r="E13" i="8"/>
  <c r="E12" i="8"/>
  <c r="E85" i="8" l="1"/>
  <c r="E87" i="8" s="1"/>
  <c r="E79" i="8"/>
  <c r="E78" i="8"/>
  <c r="F85" i="8"/>
  <c r="F87" i="8" s="1"/>
  <c r="F79" i="8"/>
  <c r="F78" i="8"/>
  <c r="C76" i="8"/>
  <c r="D76" i="8"/>
  <c r="E84" i="8"/>
  <c r="E77" i="8"/>
  <c r="F84" i="8"/>
  <c r="F77" i="8"/>
  <c r="C81" i="8"/>
  <c r="C84" i="8"/>
  <c r="C77" i="8"/>
  <c r="D81" i="8"/>
  <c r="D84" i="8"/>
  <c r="D77" i="8"/>
  <c r="C82" i="8"/>
  <c r="C85" i="8"/>
  <c r="C87" i="8" s="1"/>
  <c r="C79" i="8"/>
  <c r="C78" i="8"/>
  <c r="D82" i="8"/>
  <c r="D85" i="8"/>
  <c r="D87" i="8" s="1"/>
  <c r="D79" i="8"/>
  <c r="D78" i="8"/>
</calcChain>
</file>

<file path=xl/comments1.xml><?xml version="1.0" encoding="utf-8"?>
<comments xmlns="http://schemas.openxmlformats.org/spreadsheetml/2006/main">
  <authors>
    <author>James Jackson</author>
  </authors>
  <commentList>
    <comment ref="A43" authorId="0">
      <text>
        <r>
          <rPr>
            <b/>
            <sz val="9"/>
            <color indexed="81"/>
            <rFont val="Tahoma"/>
            <family val="2"/>
          </rPr>
          <t>James Jackson:</t>
        </r>
        <r>
          <rPr>
            <sz val="9"/>
            <color indexed="81"/>
            <rFont val="Tahoma"/>
            <family val="2"/>
          </rPr>
          <t xml:space="preserve">
should be a whole number of years</t>
        </r>
      </text>
    </comment>
  </commentList>
</comments>
</file>

<file path=xl/sharedStrings.xml><?xml version="1.0" encoding="utf-8"?>
<sst xmlns="http://schemas.openxmlformats.org/spreadsheetml/2006/main" count="219" uniqueCount="183">
  <si>
    <t>MLP Term Calculator</t>
  </si>
  <si>
    <t>Personal data input</t>
  </si>
  <si>
    <t>Name of Pensioner:</t>
  </si>
  <si>
    <t>John Smith</t>
  </si>
  <si>
    <t>Date of Birth:</t>
  </si>
  <si>
    <t>April</t>
  </si>
  <si>
    <t>Gender of Pensioner:</t>
  </si>
  <si>
    <t>Female</t>
  </si>
  <si>
    <t>Yes</t>
  </si>
  <si>
    <t>October</t>
  </si>
  <si>
    <t>Male</t>
  </si>
  <si>
    <t>May</t>
  </si>
  <si>
    <t>Market linked pension duration</t>
  </si>
  <si>
    <t>Pensioner</t>
  </si>
  <si>
    <t>ALT 2010-12</t>
  </si>
  <si>
    <t xml:space="preserve">  Life Table Used</t>
  </si>
  <si>
    <t>Min Years</t>
  </si>
  <si>
    <t>Max Years</t>
  </si>
  <si>
    <t>Select a duration between 31 and 44 or between 54 and 73.</t>
  </si>
  <si>
    <t>Pension input section</t>
  </si>
  <si>
    <t>Market Linked Pension Commencement Date:</t>
  </si>
  <si>
    <t>Market-Linked Assets at Commencement Date:</t>
  </si>
  <si>
    <t>ML Pension Reversionary Member:</t>
  </si>
  <si>
    <t>Reversionary Date of Birth:</t>
  </si>
  <si>
    <t>Reversionary Gender:</t>
  </si>
  <si>
    <t>Name of Reversionary</t>
  </si>
  <si>
    <t>Jane Smith</t>
  </si>
  <si>
    <t>Reversionary</t>
  </si>
  <si>
    <t>Fill in</t>
  </si>
  <si>
    <t>thisworkbook.worksheets("SheetName").range("RangeName").value</t>
  </si>
  <si>
    <t>Schedule 7 - applies to ABP and TTR pensions</t>
  </si>
  <si>
    <t>Pension Types</t>
  </si>
  <si>
    <t>Min Age (at commencement)</t>
  </si>
  <si>
    <t>Max Age (at commencement)</t>
  </si>
  <si>
    <t>Percentage Factor</t>
  </si>
  <si>
    <t>Account Based Pension (ABP)</t>
  </si>
  <si>
    <t>Transition to Retirement Pension (TTR)</t>
  </si>
  <si>
    <t>Market Linked Pension (MLP/TAP)</t>
  </si>
  <si>
    <t>Schedule 6 - applies to MLP</t>
  </si>
  <si>
    <t>Days in FY</t>
  </si>
  <si>
    <t>Term</t>
  </si>
  <si>
    <t>PF</t>
  </si>
  <si>
    <t>2014-15</t>
  </si>
  <si>
    <t>2015-16</t>
  </si>
  <si>
    <t>2016-17</t>
  </si>
  <si>
    <t>MLP meet ABP date</t>
  </si>
  <si>
    <t>Calculations</t>
  </si>
  <si>
    <t>Read relevant in input data</t>
  </si>
  <si>
    <t>FY</t>
  </si>
  <si>
    <t>SOFY</t>
  </si>
  <si>
    <t>EOFY</t>
  </si>
  <si>
    <t>Member 1</t>
  </si>
  <si>
    <t>Member 2</t>
  </si>
  <si>
    <t>Member 3</t>
  </si>
  <si>
    <t>Member 4</t>
  </si>
  <si>
    <t>DOB</t>
  </si>
  <si>
    <t>Pens 1 Type</t>
  </si>
  <si>
    <t>Pens 1 Did commen</t>
  </si>
  <si>
    <t>Pens 1 Commen date</t>
  </si>
  <si>
    <t>Pens 1 Balance</t>
  </si>
  <si>
    <t>Pens 1 Did commute</t>
  </si>
  <si>
    <t>Pens 1 Commute date</t>
  </si>
  <si>
    <t>Has MLP</t>
  </si>
  <si>
    <t>MLP Start date</t>
  </si>
  <si>
    <t>MLP End date</t>
  </si>
  <si>
    <t>Pens 2 Type</t>
  </si>
  <si>
    <t>Pens 2 Did commen</t>
  </si>
  <si>
    <t>Pens 2 Commen date</t>
  </si>
  <si>
    <t>Pens 2 Balance</t>
  </si>
  <si>
    <t>Pens 2 Did commute</t>
  </si>
  <si>
    <t>Pens 2 Commute date</t>
  </si>
  <si>
    <t>Pens 3 Type</t>
  </si>
  <si>
    <t>Pens 3 Did commen</t>
  </si>
  <si>
    <t>Pens 3 Commen date</t>
  </si>
  <si>
    <t>Pens 3 Balance</t>
  </si>
  <si>
    <t>Pens 3 Did commute</t>
  </si>
  <si>
    <t>Pens 3 Commute date</t>
  </si>
  <si>
    <t>Pensions that don't meet standards</t>
  </si>
  <si>
    <t>Report Message</t>
  </si>
  <si>
    <t>Pension 1</t>
  </si>
  <si>
    <t>Description</t>
  </si>
  <si>
    <t>Pension Type</t>
  </si>
  <si>
    <t>If ABP</t>
  </si>
  <si>
    <t>is ABP</t>
  </si>
  <si>
    <t>Start date</t>
  </si>
  <si>
    <t>start date is either SOFY or commencement date if commenced</t>
  </si>
  <si>
    <t>End date</t>
  </si>
  <si>
    <t>end date is either EOFY or cummute date if commuted</t>
  </si>
  <si>
    <t>Pro-rata days</t>
  </si>
  <si>
    <t>difference between start date and end date</t>
  </si>
  <si>
    <t>Pro-rata factor</t>
  </si>
  <si>
    <t>pro-rata days divided by days in fin yr</t>
  </si>
  <si>
    <t>Age (at comm)</t>
  </si>
  <si>
    <t>age at start date</t>
  </si>
  <si>
    <t>Min factor</t>
  </si>
  <si>
    <t>minimum factor according to Schedule 7 associated with age at start date</t>
  </si>
  <si>
    <t>Min PP</t>
  </si>
  <si>
    <t>commencement balance * pro-rata factor * min pens paym factor, rounded to nearest $10.  If commen in June then 0</t>
  </si>
  <si>
    <t>Max PP</t>
  </si>
  <si>
    <t>N/A</t>
  </si>
  <si>
    <t>If TTR</t>
  </si>
  <si>
    <t>is TTR</t>
  </si>
  <si>
    <t>commencement balance * 10% (not pro-rata), rounded down to nearest dollar</t>
  </si>
  <si>
    <t>If MLP</t>
  </si>
  <si>
    <t>is MLP</t>
  </si>
  <si>
    <t>Start date pens</t>
  </si>
  <si>
    <t>start date is Start Date as given on input form, or commencement date if commenced</t>
  </si>
  <si>
    <t>End date pens</t>
  </si>
  <si>
    <t>end date is End Date as given on input form</t>
  </si>
  <si>
    <t>difference in years between start date and end date</t>
  </si>
  <si>
    <t>Term remaining</t>
  </si>
  <si>
    <t>difference between SOFY and End date, rounded according to Schedule 6 (up if started in first half of calendar year and down otherwise).  if commen in yr then term is diff between comm date and end date</t>
  </si>
  <si>
    <t>lookup PF based on term remaning</t>
  </si>
  <si>
    <t>Mid paym</t>
  </si>
  <si>
    <t>account balance / PF</t>
  </si>
  <si>
    <t>ML factor</t>
  </si>
  <si>
    <t>mid paym divided by balance</t>
  </si>
  <si>
    <t>Start of FY</t>
  </si>
  <si>
    <t>start date of fin yr or pens commen date</t>
  </si>
  <si>
    <t>End of FY</t>
  </si>
  <si>
    <t>end date of fin yr (irrespective of commute date)</t>
  </si>
  <si>
    <t>S6 difference between start date and end date (not dependant on commute date)</t>
  </si>
  <si>
    <t>S6 pro-rata days divided by days in fin yr</t>
  </si>
  <si>
    <t>Min PP MLP</t>
  </si>
  <si>
    <t>mid payment less 10% including pro-rata multiplier rounded to nearest $10.  if in final year (i.e. term = 1, the min is balance).  If commenced in june then N/A</t>
  </si>
  <si>
    <t>Max PP MLP</t>
  </si>
  <si>
    <t>mid payment more 10% including pro-rata multiplier rounded to nearest $10.  if in final year (i.e. term = 1, the max is balance)</t>
  </si>
  <si>
    <t>Does MLP min meet ABP min</t>
  </si>
  <si>
    <t>If commute, date</t>
  </si>
  <si>
    <t>MLP commute date if commuted, otherwise EOFY</t>
  </si>
  <si>
    <t>S7 pro-rata days</t>
  </si>
  <si>
    <t>S7 pro-rata days between start date and commute date if commute, or EOFY</t>
  </si>
  <si>
    <t>S7 pro-rata factor</t>
  </si>
  <si>
    <t>S7 pro-rata days divided by days in fin yr</t>
  </si>
  <si>
    <t>Min ABP PP</t>
  </si>
  <si>
    <t>commencement balance * S7 pro-rata factor * min pens paym factor, rounded to nearest $10.  if commen in june then NA</t>
  </si>
  <si>
    <t>Withhold</t>
  </si>
  <si>
    <t>is min ABP PP &gt; max MLP PP, if so withhold, in line with 1.06 1(b)</t>
  </si>
  <si>
    <t>Flagged</t>
  </si>
  <si>
    <t>is min ABP PP &gt; min MLP PP, if so flag, in line with 1.06 1(b)</t>
  </si>
  <si>
    <t>Summary results</t>
  </si>
  <si>
    <t>Min paym factor</t>
  </si>
  <si>
    <t>Min PP (not pro-rata)</t>
  </si>
  <si>
    <t>Max paym factor</t>
  </si>
  <si>
    <t>Max PP (not pro-rata)</t>
  </si>
  <si>
    <t>Overall Min PP</t>
  </si>
  <si>
    <t>regardless of pens type, min PP</t>
  </si>
  <si>
    <t>Overall Max PP</t>
  </si>
  <si>
    <t>regardless of pens type, max PP</t>
  </si>
  <si>
    <t xml:space="preserve">        'clear the excel sheets used to store output data from the health check</t>
  </si>
  <si>
    <t xml:space="preserve">        ThisWorkbook.Worksheets("Bucket Output Data").Range("NoBucketFunnel").Value = Nothing</t>
  </si>
  <si>
    <t xml:space="preserve">        ThisWorkbook.Worksheets("Bucket Output Data").Range("WithBucketFunnel").Value = Nothing</t>
  </si>
  <si>
    <t xml:space="preserve">        ThisWorkbook.Worksheets("Bucket Output Data").Range("BucketPurchasePrice").Value = Nothing</t>
  </si>
  <si>
    <t xml:space="preserve">        ThisWorkbook.Worksheets("Bucket Output Data").Range("BucketMinimum").Value = Nothing</t>
  </si>
  <si>
    <t xml:space="preserve">        ReDim Age(1)</t>
  </si>
  <si>
    <t xml:space="preserve">        ReDim SMSFBalance(1)</t>
  </si>
  <si>
    <t xml:space="preserve">    Dim Age() As Double</t>
  </si>
  <si>
    <t xml:space="preserve">    Dim SMSFBalance() As Double</t>
  </si>
  <si>
    <t xml:space="preserve">        SMSFAssetMix(1, 0) = BucketStrategyCashAllocation</t>
  </si>
  <si>
    <t xml:space="preserve">        SMSFAssetMix(1, 1) = 0</t>
  </si>
  <si>
    <t xml:space="preserve">        For i = 2 To 5</t>
  </si>
  <si>
    <t xml:space="preserve">            SMSFAssetMix(1, i) = GrowthMix(i - 2)</t>
  </si>
  <si>
    <t xml:space="preserve">        Next</t>
  </si>
  <si>
    <t xml:space="preserve">        ' printing minimum amount and purchase price in output</t>
  </si>
  <si>
    <t xml:space="preserve">        cCommunicator.printCell("Bucket Output Data", "BucketMinimum", 0, 0, TermAnnuityAmount)</t>
  </si>
  <si>
    <t xml:space="preserve">        cCommunicator.printCell("Bucket Output Data", "BucketPurchasePrice", 0, 0, TermAnnuityPurchasePrice)</t>
  </si>
  <si>
    <t xml:space="preserve">        If (Not xlApp Is Nothing) Then</t>
  </si>
  <si>
    <t xml:space="preserve">            ' force Excel to recalculate ...</t>
  </si>
  <si>
    <t xml:space="preserve">            xlApp.Calculation = excel.XlCalculation.xlCalculationAutomatic</t>
  </si>
  <si>
    <t xml:space="preserve">            xlApp.Calculation = excel.XlCalculation.xlCalculationManual</t>
  </si>
  <si>
    <t xml:space="preserve">            'Else</t>
  </si>
  <si>
    <t xml:space="preserve">            ' if we don't have a direct connection to Excel we can update the worksheets by saving the workbook ...</t>
  </si>
  <si>
    <t xml:space="preserve">            'ThisWorkbook.Save()</t>
  </si>
  <si>
    <t xml:space="preserve">        End If</t>
  </si>
  <si>
    <t xml:space="preserve">    Private Sub setBucketAmount()</t>
  </si>
  <si>
    <t xml:space="preserve">        Dim MinFactors() As Double</t>
  </si>
  <si>
    <t xml:space="preserve">        ReDim MinFactors(1)</t>
  </si>
  <si>
    <t xml:space="preserve">        Dim Pension As New Pension</t>
  </si>
  <si>
    <t xml:space="preserve">        Pension.Initialise(cCommunicator.returnSocialSecuritySettings("PensionStandards", 0, 0), 0, 0, 0, 0, 0, Today())</t>
  </si>
  <si>
    <t xml:space="preserve">        MinFactors(0) = Pension.getMinFactor(Age(0))</t>
  </si>
  <si>
    <t xml:space="preserve">        MinFactors(1) = Pension.getMinFactor(Age(1))</t>
  </si>
  <si>
    <t xml:space="preserve">        TermAnnuityAmount = MinFactors(0) * SMSFBalance(0) + MinFactors(1) * SMSFBalance(1)</t>
  </si>
  <si>
    <t xml:space="preserve">    End Sub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</si>
</sst>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quot;$&quot;* #,##0.00_-;_-&quot;$&quot;* &quot;-&quot;??_-;_-@_-"/>
    <numFmt numFmtId="43" formatCode="_-* #,##0.00_-;\-* #,##0.00_-;_-* &quot;-&quot;??_-;_-@_-"/>
    <numFmt numFmtId="164" formatCode="&quot;$&quot;#,##0"/>
    <numFmt numFmtId="165" formatCode="0.0000"/>
    <numFmt numFmtId="166" formatCode="0.000"/>
  </numFmts>
  <fonts count="14">
    <font>
      <sz val="11"/>
      <color theme="1"/>
      <name val="Calibri"/>
      <family val="2"/>
      <scheme val="minor"/>
    </font>
    <font>
      <sz val="10"/>
      <name val="Arial"/>
      <family val="2"/>
    </font>
    <font>
      <sz val="10"/>
      <name val="Arial"/>
      <family val="2"/>
    </font>
    <font>
      <b/>
      <sz val="10"/>
      <name val="Arial"/>
      <family val="2"/>
    </font>
    <font>
      <sz val="10"/>
      <color rgb="FFC00000"/>
      <name val="Arial"/>
      <family val="2"/>
    </font>
    <font>
      <sz val="10"/>
      <color rgb="FF7A0000"/>
      <name val="Arial"/>
      <family val="2"/>
    </font>
    <font>
      <b/>
      <sz val="10"/>
      <color theme="0"/>
      <name val="Arial"/>
      <family val="2"/>
    </font>
    <font>
      <sz val="12"/>
      <color theme="1"/>
      <name val="Calibri"/>
      <family val="2"/>
      <charset val="134"/>
      <scheme val="minor"/>
    </font>
    <font>
      <sz val="12"/>
      <name val="Arial"/>
      <family val="2"/>
    </font>
    <font>
      <b/>
      <sz val="11"/>
      <name val="Arial"/>
      <family val="2"/>
    </font>
    <font>
      <i/>
      <sz val="10"/>
      <name val="Arial"/>
      <family val="2"/>
    </font>
    <font>
      <sz val="10"/>
      <color rgb="FFFF0000"/>
      <name val="Arial"/>
      <family val="2"/>
    </font>
    <font>
      <b/>
      <sz val="9"/>
      <color indexed="81"/>
      <name val="Tahoma"/>
      <family val="2"/>
    </font>
    <font>
      <sz val="9"/>
      <color indexed="81"/>
      <name val="Tahoma"/>
      <family val="2"/>
    </font>
  </fonts>
  <fills count="4">
    <fill>
      <patternFill patternType="none"/>
    </fill>
    <fill>
      <patternFill patternType="gray125"/>
    </fill>
    <fill>
      <patternFill patternType="solid">
        <fgColor rgb="FF000000"/>
        <bgColor indexed="64"/>
      </patternFill>
    </fill>
    <fill>
      <patternFill patternType="solid">
        <fgColor rgb="FFC4D600"/>
        <bgColor indexed="64"/>
      </patternFill>
    </fill>
  </fills>
  <borders count="18">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1"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cellStyleXfs>
  <cellXfs count="102">
    <xf numFmtId="0" fontId="0" fillId="0" borderId="0" xfId="0"/>
    <xf numFmtId="0" fontId="2" fillId="0" borderId="0" xfId="1" applyFont="1" applyBorder="1" applyProtection="1">
      <protection hidden="1"/>
    </xf>
    <xf numFmtId="0" fontId="2" fillId="0" borderId="0" xfId="1" applyFont="1" applyFill="1" applyBorder="1" applyAlignment="1" applyProtection="1">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right"/>
      <protection hidden="1"/>
    </xf>
    <xf numFmtId="0" fontId="2" fillId="0" borderId="1" xfId="1" applyFont="1" applyBorder="1" applyProtection="1">
      <protection hidden="1"/>
    </xf>
    <xf numFmtId="0" fontId="2" fillId="0" borderId="0" xfId="1" applyFont="1" applyBorder="1" applyAlignment="1" applyProtection="1">
      <protection hidden="1"/>
    </xf>
    <xf numFmtId="0" fontId="3" fillId="0" borderId="7" xfId="1" applyFont="1" applyBorder="1" applyProtection="1">
      <protection hidden="1"/>
    </xf>
    <xf numFmtId="0" fontId="2" fillId="0" borderId="9" xfId="1" applyFont="1" applyBorder="1" applyProtection="1">
      <protection hidden="1"/>
    </xf>
    <xf numFmtId="0" fontId="2" fillId="0" borderId="3" xfId="1" applyFont="1" applyBorder="1" applyAlignment="1" applyProtection="1">
      <protection hidden="1"/>
    </xf>
    <xf numFmtId="0" fontId="2" fillId="0" borderId="2" xfId="1" applyFont="1" applyBorder="1" applyProtection="1">
      <protection hidden="1"/>
    </xf>
    <xf numFmtId="0" fontId="2" fillId="0" borderId="1" xfId="1" applyFont="1" applyBorder="1" applyAlignment="1" applyProtection="1">
      <protection hidden="1"/>
    </xf>
    <xf numFmtId="0" fontId="2" fillId="0" borderId="4" xfId="1" applyFont="1" applyBorder="1" applyAlignment="1" applyProtection="1">
      <protection hidden="1"/>
    </xf>
    <xf numFmtId="0" fontId="2" fillId="0" borderId="1" xfId="3" applyNumberFormat="1" applyFont="1" applyFill="1" applyBorder="1" applyAlignment="1" applyProtection="1">
      <alignment horizontal="center"/>
      <protection hidden="1"/>
    </xf>
    <xf numFmtId="0" fontId="2" fillId="0" borderId="8" xfId="1" applyFont="1" applyBorder="1" applyProtection="1">
      <protection hidden="1"/>
    </xf>
    <xf numFmtId="0" fontId="2" fillId="3" borderId="5" xfId="3" applyNumberFormat="1" applyFont="1" applyFill="1" applyBorder="1" applyAlignment="1" applyProtection="1">
      <alignment horizontal="center"/>
      <protection locked="0"/>
    </xf>
    <xf numFmtId="0" fontId="2" fillId="0" borderId="0" xfId="1" applyFont="1" applyBorder="1" applyProtection="1">
      <protection hidden="1"/>
    </xf>
    <xf numFmtId="0" fontId="2" fillId="0" borderId="0" xfId="3" applyNumberFormat="1" applyFont="1" applyFill="1" applyBorder="1" applyAlignment="1" applyProtection="1">
      <alignment horizontal="center" vertical="center"/>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center"/>
      <protection hidden="1"/>
    </xf>
    <xf numFmtId="0" fontId="2" fillId="0" borderId="0" xfId="1" applyFont="1" applyBorder="1" applyAlignment="1" applyProtection="1">
      <alignment horizontal="left"/>
      <protection hidden="1"/>
    </xf>
    <xf numFmtId="0" fontId="3" fillId="0" borderId="0" xfId="1" applyFont="1" applyBorder="1" applyAlignment="1" applyProtection="1">
      <alignment horizontal="center"/>
      <protection hidden="1"/>
    </xf>
    <xf numFmtId="0" fontId="2" fillId="0" borderId="1" xfId="1" applyFont="1" applyBorder="1" applyProtection="1">
      <protection hidden="1"/>
    </xf>
    <xf numFmtId="0" fontId="3" fillId="0" borderId="0" xfId="1" applyFont="1" applyBorder="1" applyProtection="1">
      <protection hidden="1"/>
    </xf>
    <xf numFmtId="0" fontId="3" fillId="0" borderId="7" xfId="1" applyFont="1" applyBorder="1" applyProtection="1">
      <protection hidden="1"/>
    </xf>
    <xf numFmtId="0" fontId="2" fillId="0" borderId="7" xfId="1" applyFont="1" applyBorder="1" applyAlignment="1" applyProtection="1">
      <alignment horizontal="left"/>
      <protection hidden="1"/>
    </xf>
    <xf numFmtId="0" fontId="2" fillId="0" borderId="2" xfId="1" applyFont="1" applyBorder="1" applyAlignment="1" applyProtection="1">
      <alignment horizontal="left"/>
      <protection hidden="1"/>
    </xf>
    <xf numFmtId="0" fontId="3" fillId="0" borderId="1" xfId="1" applyFont="1" applyBorder="1" applyAlignment="1" applyProtection="1">
      <alignment horizontal="center"/>
      <protection hidden="1"/>
    </xf>
    <xf numFmtId="0" fontId="5" fillId="0" borderId="1" xfId="1" applyFont="1" applyBorder="1" applyProtection="1">
      <protection hidden="1"/>
    </xf>
    <xf numFmtId="0" fontId="2" fillId="0" borderId="4" xfId="1" applyFont="1" applyBorder="1" applyProtection="1">
      <protection hidden="1"/>
    </xf>
    <xf numFmtId="0" fontId="2" fillId="0" borderId="9" xfId="1" applyFont="1" applyBorder="1" applyProtection="1">
      <protection hidden="1"/>
    </xf>
    <xf numFmtId="0" fontId="4" fillId="0" borderId="9" xfId="1" applyFont="1" applyBorder="1" applyProtection="1">
      <protection hidden="1"/>
    </xf>
    <xf numFmtId="0" fontId="2" fillId="0" borderId="8" xfId="1" applyFont="1" applyBorder="1" applyProtection="1">
      <protection hidden="1"/>
    </xf>
    <xf numFmtId="0" fontId="2" fillId="0" borderId="0" xfId="1" applyFont="1" applyBorder="1" applyProtection="1">
      <protection hidden="1"/>
    </xf>
    <xf numFmtId="0" fontId="2" fillId="0" borderId="3" xfId="1" applyFont="1" applyBorder="1" applyProtection="1">
      <protection hidden="1"/>
    </xf>
    <xf numFmtId="0" fontId="2" fillId="0" borderId="7" xfId="1" applyFont="1" applyBorder="1" applyProtection="1">
      <protection hidden="1"/>
    </xf>
    <xf numFmtId="0" fontId="2" fillId="0" borderId="0" xfId="1" applyFont="1" applyBorder="1" applyAlignment="1" applyProtection="1">
      <alignment horizontal="right"/>
      <protection hidden="1"/>
    </xf>
    <xf numFmtId="0" fontId="2" fillId="0" borderId="1" xfId="1" applyFont="1" applyBorder="1" applyProtection="1">
      <protection hidden="1"/>
    </xf>
    <xf numFmtId="0" fontId="2" fillId="0" borderId="0" xfId="1" applyFont="1" applyBorder="1" applyAlignment="1" applyProtection="1">
      <protection hidden="1"/>
    </xf>
    <xf numFmtId="0" fontId="3" fillId="0" borderId="7" xfId="1" applyFont="1" applyBorder="1" applyProtection="1">
      <protection hidden="1"/>
    </xf>
    <xf numFmtId="0" fontId="2" fillId="0" borderId="9" xfId="1" applyFont="1" applyBorder="1" applyProtection="1">
      <protection hidden="1"/>
    </xf>
    <xf numFmtId="0" fontId="2" fillId="0" borderId="3" xfId="1" applyFont="1" applyBorder="1" applyAlignment="1" applyProtection="1">
      <protection hidden="1"/>
    </xf>
    <xf numFmtId="0" fontId="2" fillId="0" borderId="2" xfId="1" applyFont="1" applyBorder="1" applyProtection="1">
      <protection hidden="1"/>
    </xf>
    <xf numFmtId="0" fontId="2" fillId="0" borderId="1" xfId="1" applyFont="1" applyBorder="1" applyAlignment="1" applyProtection="1">
      <protection hidden="1"/>
    </xf>
    <xf numFmtId="0" fontId="2" fillId="0" borderId="4" xfId="1" applyFont="1" applyBorder="1" applyAlignment="1" applyProtection="1">
      <protection hidden="1"/>
    </xf>
    <xf numFmtId="0" fontId="2" fillId="0" borderId="8" xfId="1" applyFont="1" applyBorder="1" applyProtection="1">
      <protection hidden="1"/>
    </xf>
    <xf numFmtId="0" fontId="2" fillId="3" borderId="5" xfId="3" applyNumberFormat="1" applyFont="1" applyFill="1" applyBorder="1" applyAlignment="1" applyProtection="1">
      <alignment horizontal="center"/>
      <protection locked="0"/>
    </xf>
    <xf numFmtId="0" fontId="2" fillId="0" borderId="0" xfId="1" quotePrefix="1" applyFont="1" applyBorder="1" applyAlignment="1" applyProtection="1">
      <alignment horizontal="right"/>
      <protection hidden="1"/>
    </xf>
    <xf numFmtId="0" fontId="1" fillId="0" borderId="0" xfId="1" applyFont="1"/>
    <xf numFmtId="0" fontId="1" fillId="0" borderId="0" xfId="1"/>
    <xf numFmtId="0" fontId="1" fillId="0" borderId="5" xfId="1" applyFont="1" applyBorder="1"/>
    <xf numFmtId="0" fontId="1" fillId="0" borderId="10" xfId="1" applyFont="1" applyBorder="1"/>
    <xf numFmtId="0" fontId="1" fillId="0" borderId="15" xfId="1" applyBorder="1"/>
    <xf numFmtId="0" fontId="1" fillId="0" borderId="8" xfId="1" applyBorder="1"/>
    <xf numFmtId="0" fontId="1" fillId="0" borderId="3" xfId="1" applyBorder="1"/>
    <xf numFmtId="0" fontId="1" fillId="0" borderId="16" xfId="1" applyBorder="1"/>
    <xf numFmtId="0" fontId="1" fillId="0" borderId="4" xfId="1" applyBorder="1"/>
    <xf numFmtId="0" fontId="1" fillId="0" borderId="5" xfId="1" applyBorder="1"/>
    <xf numFmtId="0" fontId="1" fillId="0" borderId="17" xfId="1" applyBorder="1"/>
    <xf numFmtId="14" fontId="1" fillId="0" borderId="0" xfId="1" applyNumberFormat="1"/>
    <xf numFmtId="0" fontId="8" fillId="0" borderId="0" xfId="1" applyFont="1"/>
    <xf numFmtId="49" fontId="1" fillId="0" borderId="0" xfId="1" applyNumberFormat="1"/>
    <xf numFmtId="14" fontId="1" fillId="0" borderId="1" xfId="1" applyNumberFormat="1" applyBorder="1"/>
    <xf numFmtId="14" fontId="1" fillId="0" borderId="4" xfId="1" applyNumberFormat="1" applyBorder="1"/>
    <xf numFmtId="0" fontId="1" fillId="0" borderId="3" xfId="1" applyFont="1" applyBorder="1"/>
    <xf numFmtId="14" fontId="1" fillId="0" borderId="3" xfId="1" applyNumberFormat="1" applyBorder="1"/>
    <xf numFmtId="0" fontId="1" fillId="0" borderId="4" xfId="1" applyFont="1" applyBorder="1"/>
    <xf numFmtId="14" fontId="1" fillId="0" borderId="1" xfId="1" applyNumberFormat="1" applyFill="1" applyBorder="1"/>
    <xf numFmtId="14" fontId="1" fillId="0" borderId="4" xfId="1" applyNumberFormat="1" applyFill="1" applyBorder="1"/>
    <xf numFmtId="0" fontId="9" fillId="0" borderId="0" xfId="1" applyFont="1"/>
    <xf numFmtId="0" fontId="3" fillId="0" borderId="0" xfId="1" applyFont="1"/>
    <xf numFmtId="165" fontId="1" fillId="0" borderId="0" xfId="1" applyNumberFormat="1"/>
    <xf numFmtId="2" fontId="1" fillId="0" borderId="0" xfId="1" applyNumberFormat="1"/>
    <xf numFmtId="0" fontId="1" fillId="0" borderId="0" xfId="1" applyFill="1"/>
    <xf numFmtId="164" fontId="1" fillId="0" borderId="0" xfId="1" applyNumberFormat="1"/>
    <xf numFmtId="1" fontId="1" fillId="0" borderId="0" xfId="1" applyNumberFormat="1" applyFill="1"/>
    <xf numFmtId="1" fontId="1" fillId="0" borderId="0" xfId="1" applyNumberFormat="1"/>
    <xf numFmtId="10" fontId="0" fillId="0" borderId="0" xfId="6" applyNumberFormat="1" applyFont="1"/>
    <xf numFmtId="0" fontId="1" fillId="0" borderId="0" xfId="1" applyFont="1" applyFill="1"/>
    <xf numFmtId="0" fontId="10" fillId="0" borderId="0" xfId="1" applyFont="1"/>
    <xf numFmtId="2" fontId="1" fillId="0" borderId="0" xfId="1" applyNumberFormat="1" applyFill="1"/>
    <xf numFmtId="14" fontId="1" fillId="0" borderId="0" xfId="1" applyNumberFormat="1" applyFill="1"/>
    <xf numFmtId="164" fontId="1" fillId="0" borderId="0" xfId="1" applyNumberFormat="1" applyFill="1"/>
    <xf numFmtId="166" fontId="1" fillId="0" borderId="0" xfId="1" applyNumberFormat="1"/>
    <xf numFmtId="0" fontId="11" fillId="0" borderId="0" xfId="1" applyFont="1"/>
    <xf numFmtId="0" fontId="2" fillId="3" borderId="5" xfId="3" applyNumberFormat="1" applyFont="1" applyFill="1" applyBorder="1" applyAlignment="1" applyProtection="1">
      <alignment horizontal="center"/>
      <protection locked="0"/>
    </xf>
    <xf numFmtId="0" fontId="2" fillId="3" borderId="11" xfId="1" applyFont="1" applyFill="1" applyBorder="1" applyAlignment="1" applyProtection="1">
      <alignment horizontal="center"/>
      <protection locked="0"/>
    </xf>
    <xf numFmtId="0" fontId="2" fillId="3" borderId="6" xfId="1" applyFont="1" applyFill="1" applyBorder="1" applyAlignment="1" applyProtection="1">
      <alignment horizontal="center"/>
      <protection locked="0"/>
    </xf>
    <xf numFmtId="0" fontId="2" fillId="3" borderId="10" xfId="1" applyFont="1" applyFill="1" applyBorder="1" applyAlignment="1" applyProtection="1">
      <alignment horizontal="center"/>
      <protection locked="0"/>
    </xf>
    <xf numFmtId="0" fontId="6" fillId="2" borderId="14" xfId="1" applyFont="1" applyFill="1" applyBorder="1" applyAlignment="1" applyProtection="1">
      <alignment horizontal="center"/>
      <protection hidden="1"/>
    </xf>
    <xf numFmtId="0" fontId="6" fillId="2" borderId="13" xfId="1" applyFont="1" applyFill="1" applyBorder="1" applyAlignment="1" applyProtection="1">
      <alignment horizontal="center"/>
      <protection hidden="1"/>
    </xf>
    <xf numFmtId="0" fontId="6" fillId="2" borderId="12" xfId="1" applyFont="1" applyFill="1" applyBorder="1" applyAlignment="1" applyProtection="1">
      <alignment horizontal="center"/>
      <protection hidden="1"/>
    </xf>
    <xf numFmtId="164" fontId="2" fillId="3" borderId="11" xfId="3" applyNumberFormat="1" applyFont="1" applyFill="1" applyBorder="1" applyAlignment="1" applyProtection="1">
      <alignment horizontal="center"/>
      <protection locked="0"/>
    </xf>
    <xf numFmtId="164" fontId="2" fillId="3" borderId="6" xfId="3" applyNumberFormat="1" applyFont="1" applyFill="1" applyBorder="1" applyAlignment="1" applyProtection="1">
      <alignment horizontal="center"/>
      <protection locked="0"/>
    </xf>
    <xf numFmtId="164" fontId="2" fillId="3" borderId="10" xfId="3" applyNumberFormat="1" applyFont="1" applyFill="1" applyBorder="1" applyAlignment="1" applyProtection="1">
      <alignment horizontal="center"/>
      <protection locked="0"/>
    </xf>
    <xf numFmtId="0" fontId="6" fillId="2" borderId="14" xfId="1" applyFont="1" applyFill="1" applyBorder="1" applyAlignment="1" applyProtection="1">
      <alignment horizontal="left"/>
      <protection hidden="1"/>
    </xf>
    <xf numFmtId="0" fontId="6" fillId="2" borderId="12" xfId="1" applyFont="1" applyFill="1" applyBorder="1" applyAlignment="1" applyProtection="1">
      <alignment horizontal="left"/>
      <protection hidden="1"/>
    </xf>
    <xf numFmtId="0" fontId="6" fillId="2" borderId="13" xfId="1" applyFont="1" applyFill="1" applyBorder="1" applyAlignment="1" applyProtection="1">
      <alignment horizontal="left"/>
      <protection hidden="1"/>
    </xf>
    <xf numFmtId="0" fontId="2" fillId="3" borderId="11" xfId="3" applyNumberFormat="1" applyFont="1" applyFill="1" applyBorder="1" applyAlignment="1" applyProtection="1">
      <alignment horizontal="center"/>
      <protection locked="0"/>
    </xf>
    <xf numFmtId="0" fontId="2" fillId="3" borderId="10" xfId="3" applyNumberFormat="1" applyFont="1" applyFill="1" applyBorder="1" applyAlignment="1" applyProtection="1">
      <alignment horizontal="center"/>
      <protection locked="0"/>
    </xf>
  </cellXfs>
  <cellStyles count="7">
    <cellStyle name="Comma 2" xfId="2"/>
    <cellStyle name="Currency 2" xfId="3"/>
    <cellStyle name="Normal" xfId="0" builtinId="0"/>
    <cellStyle name="Normal 2" xfId="1"/>
    <cellStyle name="Percent 2" xfId="5"/>
    <cellStyle name="Percent 3" xfId="4"/>
    <cellStyle name="Percent 4"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MSF%20Team/PensionPaymentReport_2016.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ual"/>
      <sheetName val="Input Form"/>
      <sheetName val="Printable Report"/>
      <sheetName val="Methodology"/>
      <sheetName val="ALT Tables"/>
      <sheetName val="Calcs"/>
      <sheetName val="Pension 1"/>
      <sheetName val="Pension 2"/>
      <sheetName val="Pension 3"/>
      <sheetName val="Schedules &amp; Tables"/>
    </sheetNames>
    <sheetDataSet>
      <sheetData sheetId="0"/>
      <sheetData sheetId="1">
        <row r="22">
          <cell r="F22" t="str">
            <v>2015-16</v>
          </cell>
        </row>
        <row r="42">
          <cell r="F42">
            <v>0</v>
          </cell>
          <cell r="H42">
            <v>0</v>
          </cell>
          <cell r="J42">
            <v>0</v>
          </cell>
          <cell r="L42">
            <v>0</v>
          </cell>
        </row>
        <row r="63">
          <cell r="F63">
            <v>0</v>
          </cell>
          <cell r="H63">
            <v>0</v>
          </cell>
          <cell r="J63">
            <v>0</v>
          </cell>
          <cell r="L63">
            <v>0</v>
          </cell>
        </row>
        <row r="83">
          <cell r="F83">
            <v>0</v>
          </cell>
          <cell r="H83">
            <v>0</v>
          </cell>
          <cell r="J83">
            <v>0</v>
          </cell>
          <cell r="L83">
            <v>0</v>
          </cell>
        </row>
        <row r="103">
          <cell r="F103">
            <v>0</v>
          </cell>
          <cell r="H103">
            <v>0</v>
          </cell>
          <cell r="J103">
            <v>0</v>
          </cell>
          <cell r="L103">
            <v>0</v>
          </cell>
        </row>
        <row r="107">
          <cell r="D107" t="str">
            <v>Conditions of use</v>
          </cell>
        </row>
        <row r="108">
          <cell r="D108" t="str">
            <v>This calculator (including its documentation) provides information only. The information provided in the calculator is neither general nor personal financial product advice. Do not act or rely solely upon any of the results or information contained or produced in this calculator. You are strongly urged to seek appropriate professional advice to inform any decisions you make. Whilst every care has been taken to ensure the accuracy of this calculator, it is still possible that errors remain. To the extent permitted by law, Accurium or its employees will not be liable for any direct and/or indirect loss and/or damage arising from the use and/or misuse of this calculator.</v>
          </cell>
        </row>
        <row r="110">
          <cell r="D110" t="str">
            <v>© Copyright August 2016 Accurium, ABN 13 009 492 219</v>
          </cell>
        </row>
        <row r="112">
          <cell r="D112" t="str">
            <v>Phone: 1800 203 123  | Web:  www.accurium.com.au</v>
          </cell>
        </row>
      </sheetData>
      <sheetData sheetId="2"/>
      <sheetData sheetId="3"/>
      <sheetData sheetId="4">
        <row r="10">
          <cell r="AT10">
            <v>0</v>
          </cell>
          <cell r="AU10">
            <v>5.6740000000000002E-3</v>
          </cell>
          <cell r="AV10">
            <v>4.6589999999999999E-3</v>
          </cell>
          <cell r="AW10">
            <v>-3.8166000000000002</v>
          </cell>
          <cell r="AX10">
            <v>-4.1220999999999997</v>
          </cell>
          <cell r="AZ10">
            <v>0</v>
          </cell>
          <cell r="BA10">
            <v>5.2300000000000003E-3</v>
          </cell>
          <cell r="BB10">
            <v>4.4000000000000003E-3</v>
          </cell>
          <cell r="BC10">
            <v>-3.0924685454517875</v>
          </cell>
          <cell r="BD10">
            <v>-3.4068570724025</v>
          </cell>
          <cell r="BF10">
            <v>0</v>
          </cell>
          <cell r="BG10">
            <v>4.1209999999999997E-3</v>
          </cell>
          <cell r="BH10">
            <v>3.3519999999999999E-3</v>
          </cell>
          <cell r="BI10">
            <v>-3.4287999999999998</v>
          </cell>
          <cell r="BJ10">
            <v>-3.8751000000000002</v>
          </cell>
        </row>
        <row r="11">
          <cell r="AT11">
            <v>1</v>
          </cell>
          <cell r="AU11">
            <v>4.3600000000000003E-4</v>
          </cell>
          <cell r="AV11">
            <v>4.2499999999999998E-4</v>
          </cell>
          <cell r="AW11">
            <v>-3.8071000000000002</v>
          </cell>
          <cell r="AX11">
            <v>-4.0606999999999998</v>
          </cell>
          <cell r="AZ11">
            <v>1</v>
          </cell>
          <cell r="BA11">
            <v>4.0000000000000002E-4</v>
          </cell>
          <cell r="BB11">
            <v>3.2000000000000003E-4</v>
          </cell>
          <cell r="BC11">
            <v>-3.3185663611698724</v>
          </cell>
          <cell r="BD11">
            <v>-3.3853871709492003</v>
          </cell>
          <cell r="BF11">
            <v>1</v>
          </cell>
          <cell r="BG11">
            <v>3.4600000000000001E-4</v>
          </cell>
          <cell r="BH11">
            <v>2.6899999999999998E-4</v>
          </cell>
          <cell r="BI11">
            <v>-3.6655000000000002</v>
          </cell>
          <cell r="BJ11">
            <v>-3.6398999999999999</v>
          </cell>
        </row>
        <row r="12">
          <cell r="AT12">
            <v>2</v>
          </cell>
          <cell r="AU12">
            <v>3.0899999999999998E-4</v>
          </cell>
          <cell r="AV12">
            <v>1.8799999999999999E-4</v>
          </cell>
          <cell r="AW12">
            <v>-3.7976999999999999</v>
          </cell>
          <cell r="AX12">
            <v>-3.9958</v>
          </cell>
          <cell r="AZ12">
            <v>2</v>
          </cell>
          <cell r="BA12">
            <v>2.7999999999999998E-4</v>
          </cell>
          <cell r="BB12">
            <v>1.9000000000000001E-4</v>
          </cell>
          <cell r="BC12">
            <v>-3.7073760249397347</v>
          </cell>
          <cell r="BD12">
            <v>-3.3603524941356997</v>
          </cell>
          <cell r="BF12">
            <v>2</v>
          </cell>
          <cell r="BG12">
            <v>2.0699999999999999E-4</v>
          </cell>
          <cell r="BH12">
            <v>1.7000000000000001E-4</v>
          </cell>
          <cell r="BI12">
            <v>-3.8228</v>
          </cell>
          <cell r="BJ12">
            <v>-3.4335</v>
          </cell>
        </row>
        <row r="13">
          <cell r="AT13">
            <v>3</v>
          </cell>
          <cell r="AU13">
            <v>2.4499999999999999E-4</v>
          </cell>
          <cell r="AV13">
            <v>1.5799999999999999E-4</v>
          </cell>
          <cell r="AW13">
            <v>-3.7881999999999998</v>
          </cell>
          <cell r="AX13">
            <v>-3.9268000000000001</v>
          </cell>
          <cell r="AZ13">
            <v>3</v>
          </cell>
          <cell r="BA13">
            <v>1.8000000000000001E-4</v>
          </cell>
          <cell r="BB13">
            <v>1.4999999999999999E-4</v>
          </cell>
          <cell r="BC13">
            <v>-4.4384073630392429</v>
          </cell>
          <cell r="BD13">
            <v>-3.3317530419619996</v>
          </cell>
          <cell r="BF13">
            <v>3</v>
          </cell>
          <cell r="BG13">
            <v>1.3300000000000001E-4</v>
          </cell>
          <cell r="BH13">
            <v>1.08E-4</v>
          </cell>
          <cell r="BI13">
            <v>-3.9157999999999999</v>
          </cell>
          <cell r="BJ13">
            <v>-3.2541000000000002</v>
          </cell>
        </row>
        <row r="14">
          <cell r="AT14">
            <v>4</v>
          </cell>
          <cell r="AU14">
            <v>1.92E-4</v>
          </cell>
          <cell r="AV14">
            <v>1.3899999999999999E-4</v>
          </cell>
          <cell r="AW14">
            <v>-3.7787999999999999</v>
          </cell>
          <cell r="AX14">
            <v>-3.8532999999999999</v>
          </cell>
          <cell r="AZ14">
            <v>4</v>
          </cell>
          <cell r="BA14">
            <v>1.3999999999999999E-4</v>
          </cell>
          <cell r="BB14">
            <v>1.2E-4</v>
          </cell>
          <cell r="BC14">
            <v>-4.5425930000000001</v>
          </cell>
          <cell r="BD14">
            <v>-3.2995888144280996</v>
          </cell>
          <cell r="BF14">
            <v>4</v>
          </cell>
          <cell r="BG14">
            <v>1.27E-4</v>
          </cell>
          <cell r="BH14">
            <v>1.06E-4</v>
          </cell>
          <cell r="BI14">
            <v>-3.9580000000000002</v>
          </cell>
          <cell r="BJ14">
            <v>-3.0996000000000001</v>
          </cell>
        </row>
        <row r="15">
          <cell r="AT15">
            <v>5</v>
          </cell>
          <cell r="AU15">
            <v>1.7200000000000001E-4</v>
          </cell>
          <cell r="AV15">
            <v>1.26E-4</v>
          </cell>
          <cell r="AW15">
            <v>-3.7692999999999999</v>
          </cell>
          <cell r="AX15">
            <v>-3.7749000000000001</v>
          </cell>
          <cell r="AZ15">
            <v>5</v>
          </cell>
          <cell r="BA15">
            <v>1.2999999999999999E-4</v>
          </cell>
          <cell r="BB15">
            <v>1.1E-4</v>
          </cell>
          <cell r="BC15">
            <v>-4.4602010000000005</v>
          </cell>
          <cell r="BD15">
            <v>-3.2638598115340001</v>
          </cell>
          <cell r="BF15">
            <v>5</v>
          </cell>
          <cell r="BG15">
            <v>1.18E-4</v>
          </cell>
          <cell r="BH15">
            <v>1.01E-4</v>
          </cell>
          <cell r="BI15">
            <v>-3.9618000000000002</v>
          </cell>
          <cell r="BJ15">
            <v>-2.9683999999999999</v>
          </cell>
        </row>
        <row r="16">
          <cell r="AT16">
            <v>6</v>
          </cell>
          <cell r="AU16">
            <v>1.54E-4</v>
          </cell>
          <cell r="AV16">
            <v>1.13E-4</v>
          </cell>
          <cell r="AW16">
            <v>-3.7599</v>
          </cell>
          <cell r="AX16">
            <v>-3.6911999999999998</v>
          </cell>
          <cell r="AZ16">
            <v>6</v>
          </cell>
          <cell r="BA16">
            <v>1.2E-4</v>
          </cell>
          <cell r="BB16">
            <v>1E-4</v>
          </cell>
          <cell r="BC16">
            <v>-4.3750010000000001</v>
          </cell>
          <cell r="BD16">
            <v>-3.2245660332797002</v>
          </cell>
          <cell r="BF16">
            <v>6</v>
          </cell>
          <cell r="BG16">
            <v>1.1E-4</v>
          </cell>
          <cell r="BH16">
            <v>9.3999999999999994E-5</v>
          </cell>
          <cell r="BI16">
            <v>-3.9380999999999999</v>
          </cell>
          <cell r="BJ16">
            <v>-2.8586</v>
          </cell>
        </row>
        <row r="17">
          <cell r="AT17">
            <v>7</v>
          </cell>
          <cell r="AU17">
            <v>1.3899999999999999E-4</v>
          </cell>
          <cell r="AV17">
            <v>1.01E-4</v>
          </cell>
          <cell r="AW17">
            <v>-3.7410000000000001</v>
          </cell>
          <cell r="AX17">
            <v>-3.6017000000000001</v>
          </cell>
          <cell r="AZ17">
            <v>7</v>
          </cell>
          <cell r="BA17">
            <v>1.1E-4</v>
          </cell>
          <cell r="BB17">
            <v>9.0000000000000006E-5</v>
          </cell>
          <cell r="BC17">
            <v>-4.2869929999999998</v>
          </cell>
          <cell r="BD17">
            <v>-3.1817074796651994</v>
          </cell>
          <cell r="BF17">
            <v>7</v>
          </cell>
          <cell r="BG17">
            <v>1.0399999999999999E-4</v>
          </cell>
          <cell r="BH17">
            <v>8.7000000000000001E-5</v>
          </cell>
          <cell r="BI17">
            <v>-3.8965999999999998</v>
          </cell>
          <cell r="BJ17">
            <v>-2.7682000000000002</v>
          </cell>
        </row>
        <row r="18">
          <cell r="AT18">
            <v>8</v>
          </cell>
          <cell r="AU18">
            <v>1.2799999999999999E-4</v>
          </cell>
          <cell r="AV18">
            <v>9.2E-5</v>
          </cell>
          <cell r="AW18">
            <v>-3.7021999999999999</v>
          </cell>
          <cell r="AX18">
            <v>-3.5061</v>
          </cell>
          <cell r="AZ18">
            <v>8</v>
          </cell>
          <cell r="BA18">
            <v>1E-4</v>
          </cell>
          <cell r="BB18">
            <v>8.0000000000000007E-5</v>
          </cell>
          <cell r="BC18">
            <v>-4.1961770000000005</v>
          </cell>
          <cell r="BD18">
            <v>-3.1352841506904996</v>
          </cell>
          <cell r="BF18">
            <v>8</v>
          </cell>
          <cell r="BG18">
            <v>9.7E-5</v>
          </cell>
          <cell r="BH18">
            <v>7.8999999999999996E-5</v>
          </cell>
          <cell r="BI18">
            <v>-3.8454999999999999</v>
          </cell>
          <cell r="BJ18">
            <v>-2.6953999999999998</v>
          </cell>
        </row>
        <row r="19">
          <cell r="AT19">
            <v>9</v>
          </cell>
          <cell r="AU19">
            <v>1.2300000000000001E-4</v>
          </cell>
          <cell r="AV19">
            <v>8.6000000000000003E-5</v>
          </cell>
          <cell r="AW19">
            <v>-3.6387999999999998</v>
          </cell>
          <cell r="AX19">
            <v>-3.4039000000000001</v>
          </cell>
          <cell r="AZ19">
            <v>9</v>
          </cell>
          <cell r="BA19">
            <v>1E-4</v>
          </cell>
          <cell r="BB19">
            <v>6.9999999999999994E-5</v>
          </cell>
          <cell r="BC19">
            <v>-4.1025530000000003</v>
          </cell>
          <cell r="BD19">
            <v>-3.0852960463555998</v>
          </cell>
          <cell r="BF19">
            <v>9</v>
          </cell>
          <cell r="BG19">
            <v>9.2E-5</v>
          </cell>
          <cell r="BH19">
            <v>7.2999999999999999E-5</v>
          </cell>
          <cell r="BI19">
            <v>-3.7917000000000001</v>
          </cell>
          <cell r="BJ19">
            <v>-2.6383999999999999</v>
          </cell>
        </row>
        <row r="20">
          <cell r="AT20">
            <v>10</v>
          </cell>
          <cell r="AU20">
            <v>1.25E-4</v>
          </cell>
          <cell r="AV20">
            <v>8.5000000000000006E-5</v>
          </cell>
          <cell r="AW20">
            <v>-3.5465</v>
          </cell>
          <cell r="AX20">
            <v>-3.2947000000000002</v>
          </cell>
          <cell r="AZ20">
            <v>10</v>
          </cell>
          <cell r="BA20">
            <v>1E-4</v>
          </cell>
          <cell r="BB20">
            <v>6.9999999999999994E-5</v>
          </cell>
          <cell r="BC20">
            <v>-4.0061210000000003</v>
          </cell>
          <cell r="BD20">
            <v>-3.0317431666605001</v>
          </cell>
          <cell r="BF20">
            <v>10</v>
          </cell>
          <cell r="BG20">
            <v>8.8999999999999995E-5</v>
          </cell>
          <cell r="BH20">
            <v>6.8999999999999997E-5</v>
          </cell>
          <cell r="BI20">
            <v>-3.7406999999999999</v>
          </cell>
          <cell r="BJ20">
            <v>-2.5952999999999999</v>
          </cell>
        </row>
        <row r="21">
          <cell r="AT21">
            <v>11</v>
          </cell>
          <cell r="AU21">
            <v>1.36E-4</v>
          </cell>
          <cell r="AV21">
            <v>9.0000000000000006E-5</v>
          </cell>
          <cell r="AW21">
            <v>-3.4207999999999998</v>
          </cell>
          <cell r="AX21">
            <v>-3.1781000000000001</v>
          </cell>
          <cell r="AZ21">
            <v>11</v>
          </cell>
          <cell r="BA21">
            <v>1.1E-4</v>
          </cell>
          <cell r="BB21">
            <v>6.9999999999999994E-5</v>
          </cell>
          <cell r="BC21">
            <v>-3.8564852799999993</v>
          </cell>
          <cell r="BD21">
            <v>-2.9746255116051996</v>
          </cell>
          <cell r="BF21">
            <v>11</v>
          </cell>
          <cell r="BG21">
            <v>9.0000000000000006E-5</v>
          </cell>
          <cell r="BH21">
            <v>6.9999999999999994E-5</v>
          </cell>
          <cell r="BI21">
            <v>-3.6968000000000001</v>
          </cell>
          <cell r="BJ21">
            <v>-2.5642999999999998</v>
          </cell>
        </row>
        <row r="22">
          <cell r="AT22">
            <v>12</v>
          </cell>
          <cell r="AU22">
            <v>1.56E-4</v>
          </cell>
          <cell r="AV22">
            <v>1.03E-4</v>
          </cell>
          <cell r="AW22">
            <v>-3.2361</v>
          </cell>
          <cell r="AX22">
            <v>-3.0535999999999999</v>
          </cell>
          <cell r="AZ22">
            <v>12</v>
          </cell>
          <cell r="BA22">
            <v>1.2E-4</v>
          </cell>
          <cell r="BB22">
            <v>8.0000000000000007E-5</v>
          </cell>
          <cell r="BC22">
            <v>-3.7750978899999996</v>
          </cell>
          <cell r="BD22">
            <v>-2.9139430811896996</v>
          </cell>
          <cell r="BF22">
            <v>12</v>
          </cell>
          <cell r="BG22">
            <v>9.8999999999999994E-5</v>
          </cell>
          <cell r="BH22">
            <v>7.7000000000000001E-5</v>
          </cell>
          <cell r="BI22">
            <v>-3.6629</v>
          </cell>
          <cell r="BJ22">
            <v>-2.5434000000000001</v>
          </cell>
        </row>
        <row r="23">
          <cell r="AT23">
            <v>13</v>
          </cell>
          <cell r="AU23">
            <v>1.8900000000000001E-4</v>
          </cell>
          <cell r="AV23">
            <v>1.2400000000000001E-4</v>
          </cell>
          <cell r="AW23">
            <v>-3.1156000000000001</v>
          </cell>
          <cell r="AX23">
            <v>-2.9207999999999998</v>
          </cell>
          <cell r="AZ23">
            <v>13</v>
          </cell>
          <cell r="BA23">
            <v>1.2999999999999999E-4</v>
          </cell>
          <cell r="BB23">
            <v>1E-4</v>
          </cell>
          <cell r="BC23">
            <v>-3.7074901599999994</v>
          </cell>
          <cell r="BD23">
            <v>-2.8496958754139996</v>
          </cell>
          <cell r="BF23">
            <v>13</v>
          </cell>
          <cell r="BG23">
            <v>1.2E-4</v>
          </cell>
          <cell r="BH23">
            <v>9.2999999999999997E-5</v>
          </cell>
          <cell r="BI23">
            <v>-3.6402999999999999</v>
          </cell>
          <cell r="BJ23">
            <v>-2.5310000000000001</v>
          </cell>
        </row>
        <row r="24">
          <cell r="AT24">
            <v>14</v>
          </cell>
          <cell r="AU24">
            <v>2.33E-4</v>
          </cell>
          <cell r="AV24">
            <v>1.54E-4</v>
          </cell>
          <cell r="AW24">
            <v>-3.0914000000000001</v>
          </cell>
          <cell r="AX24">
            <v>-2.7867000000000002</v>
          </cell>
          <cell r="AZ24">
            <v>14</v>
          </cell>
          <cell r="BA24">
            <v>1.6000000000000001E-4</v>
          </cell>
          <cell r="BB24">
            <v>1.2999999999999999E-4</v>
          </cell>
          <cell r="BC24">
            <v>-3.6518839299999994</v>
          </cell>
          <cell r="BD24">
            <v>-2.7818838942780997</v>
          </cell>
          <cell r="BF24">
            <v>14</v>
          </cell>
          <cell r="BG24">
            <v>1.56E-4</v>
          </cell>
          <cell r="BH24">
            <v>1.2E-4</v>
          </cell>
          <cell r="BI24">
            <v>-3.6294</v>
          </cell>
          <cell r="BJ24">
            <v>-2.5249999999999999</v>
          </cell>
        </row>
        <row r="25">
          <cell r="AT25">
            <v>15</v>
          </cell>
          <cell r="AU25">
            <v>3.0499999999999999E-4</v>
          </cell>
          <cell r="AV25">
            <v>1.9599999999999999E-4</v>
          </cell>
          <cell r="AW25">
            <v>-3.1126999999999998</v>
          </cell>
          <cell r="AX25">
            <v>-2.6288</v>
          </cell>
          <cell r="AZ25">
            <v>15</v>
          </cell>
          <cell r="BA25">
            <v>2.2000000000000001E-4</v>
          </cell>
          <cell r="BB25">
            <v>1.8000000000000001E-4</v>
          </cell>
          <cell r="BC25">
            <v>-3.605104719999999</v>
          </cell>
          <cell r="BD25">
            <v>-2.7105071377819998</v>
          </cell>
          <cell r="BF25">
            <v>15</v>
          </cell>
          <cell r="BG25">
            <v>2.1499999999999999E-4</v>
          </cell>
          <cell r="BH25">
            <v>1.6200000000000001E-4</v>
          </cell>
          <cell r="BI25">
            <v>-3.6288</v>
          </cell>
          <cell r="BJ25">
            <v>-2.5236000000000001</v>
          </cell>
        </row>
        <row r="26">
          <cell r="AT26">
            <v>16</v>
          </cell>
          <cell r="AU26">
            <v>4.6200000000000001E-4</v>
          </cell>
          <cell r="AV26">
            <v>2.4699999999999999E-4</v>
          </cell>
          <cell r="AW26">
            <v>-3.1497000000000002</v>
          </cell>
          <cell r="AX26">
            <v>-2.4523000000000001</v>
          </cell>
          <cell r="AZ26">
            <v>16</v>
          </cell>
          <cell r="BA26">
            <v>3.5E-4</v>
          </cell>
          <cell r="BB26">
            <v>2.2000000000000001E-4</v>
          </cell>
          <cell r="BC26">
            <v>-3.5625817299999993</v>
          </cell>
          <cell r="BD26">
            <v>-2.6355656059256996</v>
          </cell>
          <cell r="BF26">
            <v>16</v>
          </cell>
          <cell r="BG26">
            <v>3.01E-4</v>
          </cell>
          <cell r="BH26">
            <v>2.22E-4</v>
          </cell>
          <cell r="BI26">
            <v>-3.6360999999999999</v>
          </cell>
          <cell r="BJ26">
            <v>-2.5249999999999999</v>
          </cell>
        </row>
        <row r="27">
          <cell r="AT27">
            <v>17</v>
          </cell>
          <cell r="AU27">
            <v>7.2999999999999996E-4</v>
          </cell>
          <cell r="AV27">
            <v>2.9500000000000001E-4</v>
          </cell>
          <cell r="AW27">
            <v>-3.1726999999999999</v>
          </cell>
          <cell r="AX27">
            <v>-2.2629999999999999</v>
          </cell>
          <cell r="AZ27">
            <v>17</v>
          </cell>
          <cell r="BA27">
            <v>5.4000000000000001E-4</v>
          </cell>
          <cell r="BB27">
            <v>2.5999999999999998E-4</v>
          </cell>
          <cell r="BC27">
            <v>-3.5183478399999997</v>
          </cell>
          <cell r="BD27">
            <v>-2.5570592987091993</v>
          </cell>
          <cell r="BF27">
            <v>17</v>
          </cell>
          <cell r="BG27">
            <v>4.6099999999999998E-4</v>
          </cell>
          <cell r="BH27">
            <v>2.5000000000000001E-4</v>
          </cell>
          <cell r="BI27">
            <v>-3.6473</v>
          </cell>
          <cell r="BJ27">
            <v>-2.5272999999999999</v>
          </cell>
        </row>
        <row r="28">
          <cell r="AT28">
            <v>18</v>
          </cell>
          <cell r="AU28">
            <v>9.3800000000000003E-4</v>
          </cell>
          <cell r="AV28">
            <v>3.2899999999999997E-4</v>
          </cell>
          <cell r="AW28">
            <v>-3.1520999999999999</v>
          </cell>
          <cell r="AX28">
            <v>-2.0676000000000001</v>
          </cell>
          <cell r="AZ28">
            <v>18</v>
          </cell>
          <cell r="BA28">
            <v>6.9999999999999999E-4</v>
          </cell>
          <cell r="BB28">
            <v>2.7999999999999998E-4</v>
          </cell>
          <cell r="BC28">
            <v>-3.4650396099999989</v>
          </cell>
          <cell r="BD28">
            <v>-2.4749882161324996</v>
          </cell>
          <cell r="BF28">
            <v>18</v>
          </cell>
          <cell r="BG28">
            <v>5.7399999999999997E-4</v>
          </cell>
          <cell r="BH28">
            <v>2.6499999999999999E-4</v>
          </cell>
          <cell r="BI28">
            <v>-3.6465000000000001</v>
          </cell>
          <cell r="BJ28">
            <v>-2.5286</v>
          </cell>
        </row>
        <row r="29">
          <cell r="AT29">
            <v>19</v>
          </cell>
          <cell r="AU29">
            <v>9.5799999999999998E-4</v>
          </cell>
          <cell r="AV29">
            <v>3.48E-4</v>
          </cell>
          <cell r="AW29">
            <v>-3.0581999999999998</v>
          </cell>
          <cell r="AX29">
            <v>-1.8823000000000001</v>
          </cell>
          <cell r="AZ29">
            <v>19</v>
          </cell>
          <cell r="BA29">
            <v>7.2999999999999996E-4</v>
          </cell>
          <cell r="BB29">
            <v>2.7999999999999998E-4</v>
          </cell>
          <cell r="BC29">
            <v>-3.3938972799999996</v>
          </cell>
          <cell r="BD29">
            <v>-2.3893523581955995</v>
          </cell>
          <cell r="BF29">
            <v>19</v>
          </cell>
          <cell r="BG29">
            <v>6.1399999999999996E-4</v>
          </cell>
          <cell r="BH29">
            <v>2.6499999999999999E-4</v>
          </cell>
          <cell r="BI29">
            <v>-3.6634000000000002</v>
          </cell>
          <cell r="BJ29">
            <v>-2.5272000000000001</v>
          </cell>
        </row>
        <row r="30">
          <cell r="AT30">
            <v>20</v>
          </cell>
          <cell r="AU30">
            <v>9.5600000000000004E-4</v>
          </cell>
          <cell r="AV30">
            <v>3.59E-4</v>
          </cell>
          <cell r="AW30">
            <v>-2.8613</v>
          </cell>
          <cell r="AX30">
            <v>-1.6794</v>
          </cell>
          <cell r="AZ30">
            <v>20</v>
          </cell>
          <cell r="BA30">
            <v>7.3999999999999999E-4</v>
          </cell>
          <cell r="BB30">
            <v>2.7999999999999998E-4</v>
          </cell>
          <cell r="BC30">
            <v>-3.29476477</v>
          </cell>
          <cell r="BD30">
            <v>-2.3001517248984999</v>
          </cell>
          <cell r="BF30">
            <v>20</v>
          </cell>
          <cell r="BG30">
            <v>6.1399999999999996E-4</v>
          </cell>
          <cell r="BH30">
            <v>2.63E-4</v>
          </cell>
          <cell r="BI30">
            <v>-3.6779999999999999</v>
          </cell>
          <cell r="BJ30">
            <v>-2.5211000000000001</v>
          </cell>
        </row>
        <row r="31">
          <cell r="AT31">
            <v>21</v>
          </cell>
          <cell r="AU31">
            <v>9.77E-4</v>
          </cell>
          <cell r="AV31">
            <v>3.6299999999999999E-4</v>
          </cell>
          <cell r="AW31">
            <v>-2.5461</v>
          </cell>
          <cell r="AX31">
            <v>-1.464</v>
          </cell>
          <cell r="AZ31">
            <v>21</v>
          </cell>
          <cell r="BA31">
            <v>7.6000000000000004E-4</v>
          </cell>
          <cell r="BB31">
            <v>2.7999999999999998E-4</v>
          </cell>
          <cell r="BC31">
            <v>-3.0999759488207101</v>
          </cell>
          <cell r="BD31">
            <v>-2.2073863162411995</v>
          </cell>
          <cell r="BF31">
            <v>21</v>
          </cell>
          <cell r="BG31">
            <v>6.1200000000000002E-4</v>
          </cell>
          <cell r="BH31">
            <v>2.61E-4</v>
          </cell>
          <cell r="BI31">
            <v>-3.6539999999999999</v>
          </cell>
          <cell r="BJ31">
            <v>-2.5085000000000002</v>
          </cell>
        </row>
        <row r="32">
          <cell r="AT32">
            <v>22</v>
          </cell>
          <cell r="AU32">
            <v>1.0139999999999999E-3</v>
          </cell>
          <cell r="AV32">
            <v>3.6499999999999998E-4</v>
          </cell>
          <cell r="AW32">
            <v>-2.0186999999999999</v>
          </cell>
          <cell r="AX32">
            <v>-1.2927999999999999</v>
          </cell>
          <cell r="AZ32">
            <v>22</v>
          </cell>
          <cell r="BA32">
            <v>7.6999999999999996E-4</v>
          </cell>
          <cell r="BB32">
            <v>2.7999999999999998E-4</v>
          </cell>
          <cell r="BC32">
            <v>-2.8587373800789462</v>
          </cell>
          <cell r="BD32">
            <v>-2.1110561322236996</v>
          </cell>
          <cell r="BF32">
            <v>22</v>
          </cell>
          <cell r="BG32">
            <v>6.1700000000000004E-4</v>
          </cell>
          <cell r="BH32">
            <v>2.5999999999999998E-4</v>
          </cell>
          <cell r="BI32">
            <v>-3.5687000000000002</v>
          </cell>
          <cell r="BJ32">
            <v>-2.4874999999999998</v>
          </cell>
        </row>
        <row r="33">
          <cell r="AT33">
            <v>23</v>
          </cell>
          <cell r="AU33">
            <v>1.059E-3</v>
          </cell>
          <cell r="AV33">
            <v>3.68E-4</v>
          </cell>
          <cell r="AW33">
            <v>-1.5152000000000001</v>
          </cell>
          <cell r="AX33">
            <v>-1.2208000000000001</v>
          </cell>
          <cell r="AZ33">
            <v>23</v>
          </cell>
          <cell r="BA33">
            <v>7.9000000000000001E-4</v>
          </cell>
          <cell r="BB33">
            <v>2.9E-4</v>
          </cell>
          <cell r="BC33">
            <v>-2.634689128959844</v>
          </cell>
          <cell r="BD33">
            <v>-2.0111611728459997</v>
          </cell>
          <cell r="BF33">
            <v>23</v>
          </cell>
          <cell r="BG33">
            <v>6.2799999999999998E-4</v>
          </cell>
          <cell r="BH33">
            <v>2.5999999999999998E-4</v>
          </cell>
          <cell r="BI33">
            <v>-3.4007999999999998</v>
          </cell>
          <cell r="BJ33">
            <v>-2.4563000000000001</v>
          </cell>
        </row>
        <row r="34">
          <cell r="AT34">
            <v>24</v>
          </cell>
          <cell r="AU34">
            <v>1.1039999999999999E-3</v>
          </cell>
          <cell r="AV34">
            <v>3.7199999999999999E-4</v>
          </cell>
          <cell r="AW34">
            <v>-1.1245000000000001</v>
          </cell>
          <cell r="AX34">
            <v>-1.2089000000000001</v>
          </cell>
          <cell r="AZ34">
            <v>24</v>
          </cell>
          <cell r="BA34">
            <v>8.0999999999999996E-4</v>
          </cell>
          <cell r="BB34">
            <v>2.9999999999999997E-4</v>
          </cell>
          <cell r="BC34">
            <v>-2.4346177528328128</v>
          </cell>
          <cell r="BD34">
            <v>-1.9077014381080997</v>
          </cell>
          <cell r="BF34">
            <v>24</v>
          </cell>
          <cell r="BG34">
            <v>6.4400000000000004E-4</v>
          </cell>
          <cell r="BH34">
            <v>2.63E-4</v>
          </cell>
          <cell r="BI34">
            <v>-3.173</v>
          </cell>
          <cell r="BJ34">
            <v>-2.4129999999999998</v>
          </cell>
        </row>
        <row r="35">
          <cell r="AT35">
            <v>25</v>
          </cell>
          <cell r="AU35">
            <v>1.142E-3</v>
          </cell>
          <cell r="AV35">
            <v>3.77E-4</v>
          </cell>
          <cell r="AW35">
            <v>-0.81430000000000002</v>
          </cell>
          <cell r="AX35">
            <v>-1.1947000000000001</v>
          </cell>
          <cell r="AZ35">
            <v>25</v>
          </cell>
          <cell r="BA35">
            <v>8.3000000000000001E-4</v>
          </cell>
          <cell r="BB35">
            <v>2.9999999999999997E-4</v>
          </cell>
          <cell r="BC35">
            <v>-2.2337382706552389</v>
          </cell>
          <cell r="BD35">
            <v>-1.8006769280099997</v>
          </cell>
          <cell r="BF35">
            <v>25</v>
          </cell>
          <cell r="BG35">
            <v>6.6600000000000003E-4</v>
          </cell>
          <cell r="BH35">
            <v>2.6800000000000001E-4</v>
          </cell>
          <cell r="BI35">
            <v>-2.9058999999999999</v>
          </cell>
          <cell r="BJ35">
            <v>-2.3557999999999999</v>
          </cell>
        </row>
        <row r="36">
          <cell r="AT36">
            <v>26</v>
          </cell>
          <cell r="AU36">
            <v>1.1670000000000001E-3</v>
          </cell>
          <cell r="AV36">
            <v>3.86E-4</v>
          </cell>
          <cell r="AW36">
            <v>-0.58020000000000005</v>
          </cell>
          <cell r="AX36">
            <v>-1.1922999999999999</v>
          </cell>
          <cell r="AZ36">
            <v>26</v>
          </cell>
          <cell r="BA36">
            <v>8.4999999999999995E-4</v>
          </cell>
          <cell r="BB36">
            <v>3.2000000000000003E-4</v>
          </cell>
          <cell r="BC36">
            <v>-2.0317786696552598</v>
          </cell>
          <cell r="BD36">
            <v>-1.6900876425516995</v>
          </cell>
          <cell r="BF36">
            <v>26</v>
          </cell>
          <cell r="BG36">
            <v>6.9099999999999999E-4</v>
          </cell>
          <cell r="BH36">
            <v>2.7599999999999999E-4</v>
          </cell>
          <cell r="BI36">
            <v>-2.6602999999999999</v>
          </cell>
          <cell r="BJ36">
            <v>-2.2827999999999999</v>
          </cell>
        </row>
        <row r="37">
          <cell r="AT37">
            <v>27</v>
          </cell>
          <cell r="AU37">
            <v>1.181E-3</v>
          </cell>
          <cell r="AV37">
            <v>3.9599999999999998E-4</v>
          </cell>
          <cell r="AW37">
            <v>-0.41749999999999998</v>
          </cell>
          <cell r="AX37">
            <v>-1.2032</v>
          </cell>
          <cell r="AZ37">
            <v>27</v>
          </cell>
          <cell r="BA37">
            <v>8.8000000000000003E-4</v>
          </cell>
          <cell r="BB37">
            <v>3.3E-4</v>
          </cell>
          <cell r="BC37">
            <v>-1.7835701781080182</v>
          </cell>
          <cell r="BD37">
            <v>-1.5759335817331996</v>
          </cell>
          <cell r="BF37">
            <v>27</v>
          </cell>
          <cell r="BG37">
            <v>7.2099999999999996E-4</v>
          </cell>
          <cell r="BH37">
            <v>2.8800000000000001E-4</v>
          </cell>
          <cell r="BI37">
            <v>-2.4674999999999998</v>
          </cell>
          <cell r="BJ37">
            <v>-2.2079</v>
          </cell>
        </row>
        <row r="38">
          <cell r="AT38">
            <v>28</v>
          </cell>
          <cell r="AU38">
            <v>1.1869999999999999E-3</v>
          </cell>
          <cell r="AV38">
            <v>4.0999999999999999E-4</v>
          </cell>
          <cell r="AW38">
            <v>-0.32190000000000002</v>
          </cell>
          <cell r="AX38">
            <v>-1.2271000000000001</v>
          </cell>
          <cell r="AZ38">
            <v>28</v>
          </cell>
          <cell r="BA38">
            <v>8.9999999999999998E-4</v>
          </cell>
          <cell r="BB38">
            <v>3.5E-4</v>
          </cell>
          <cell r="BC38">
            <v>-1.579513275930533</v>
          </cell>
          <cell r="BD38">
            <v>-1.4582147455544998</v>
          </cell>
          <cell r="BF38">
            <v>28</v>
          </cell>
          <cell r="BG38">
            <v>7.54E-4</v>
          </cell>
          <cell r="BH38">
            <v>3.0400000000000002E-4</v>
          </cell>
          <cell r="BI38">
            <v>-2.2302</v>
          </cell>
          <cell r="BJ38">
            <v>-2.0777999999999999</v>
          </cell>
        </row>
        <row r="39">
          <cell r="AT39">
            <v>29</v>
          </cell>
          <cell r="AU39">
            <v>1.189E-3</v>
          </cell>
          <cell r="AV39">
            <v>4.2700000000000002E-4</v>
          </cell>
          <cell r="AW39">
            <v>-0.28860000000000002</v>
          </cell>
          <cell r="AX39">
            <v>-1.2638</v>
          </cell>
          <cell r="AZ39">
            <v>29</v>
          </cell>
          <cell r="BA39">
            <v>9.3000000000000005E-4</v>
          </cell>
          <cell r="BB39">
            <v>3.6000000000000002E-4</v>
          </cell>
          <cell r="BC39">
            <v>-1.3308052596615716</v>
          </cell>
          <cell r="BD39">
            <v>-1.3369311340155996</v>
          </cell>
          <cell r="BF39">
            <v>29</v>
          </cell>
          <cell r="BG39">
            <v>7.8899999999999999E-4</v>
          </cell>
          <cell r="BH39">
            <v>3.2499999999999999E-4</v>
          </cell>
          <cell r="BI39">
            <v>-1.986</v>
          </cell>
          <cell r="BJ39">
            <v>-1.899</v>
          </cell>
        </row>
        <row r="40">
          <cell r="AT40">
            <v>30</v>
          </cell>
          <cell r="AU40">
            <v>1.191E-3</v>
          </cell>
          <cell r="AV40">
            <v>4.4799999999999999E-4</v>
          </cell>
          <cell r="AW40">
            <v>-0.31319999999999998</v>
          </cell>
          <cell r="AX40">
            <v>-1.3129</v>
          </cell>
          <cell r="AZ40">
            <v>30</v>
          </cell>
          <cell r="BA40">
            <v>9.5E-4</v>
          </cell>
          <cell r="BB40">
            <v>3.8000000000000002E-4</v>
          </cell>
          <cell r="BC40">
            <v>-1.1232638103303438</v>
          </cell>
          <cell r="BD40">
            <v>-1.2467925624617071</v>
          </cell>
          <cell r="BF40">
            <v>30</v>
          </cell>
          <cell r="BG40">
            <v>8.2600000000000002E-4</v>
          </cell>
          <cell r="BH40">
            <v>3.4900000000000003E-4</v>
          </cell>
          <cell r="BI40">
            <v>-1.7702</v>
          </cell>
          <cell r="BJ40">
            <v>-1.6979</v>
          </cell>
        </row>
        <row r="41">
          <cell r="AT41">
            <v>31</v>
          </cell>
          <cell r="AU41">
            <v>1.1950000000000001E-3</v>
          </cell>
          <cell r="AV41">
            <v>4.7199999999999998E-4</v>
          </cell>
          <cell r="AW41">
            <v>-0.39119999999999999</v>
          </cell>
          <cell r="AX41">
            <v>-1.3742000000000001</v>
          </cell>
          <cell r="AZ41">
            <v>31</v>
          </cell>
          <cell r="BA41">
            <v>9.7999999999999997E-4</v>
          </cell>
          <cell r="BB41">
            <v>4.0999999999999999E-4</v>
          </cell>
          <cell r="BC41">
            <v>-0.96866297608960705</v>
          </cell>
          <cell r="BD41">
            <v>-1.1681677875941432</v>
          </cell>
          <cell r="BF41">
            <v>31</v>
          </cell>
          <cell r="BG41">
            <v>8.6499999999999999E-4</v>
          </cell>
          <cell r="BH41">
            <v>3.7599999999999998E-4</v>
          </cell>
          <cell r="BI41">
            <v>-1.5823</v>
          </cell>
          <cell r="BJ41">
            <v>-1.5004999999999999</v>
          </cell>
        </row>
        <row r="42">
          <cell r="AT42">
            <v>32</v>
          </cell>
          <cell r="AU42">
            <v>1.206E-3</v>
          </cell>
          <cell r="AV42">
            <v>5.0000000000000001E-4</v>
          </cell>
          <cell r="AW42">
            <v>-0.51790000000000003</v>
          </cell>
          <cell r="AX42">
            <v>-1.4474</v>
          </cell>
          <cell r="AZ42">
            <v>32</v>
          </cell>
          <cell r="BA42">
            <v>1.01E-3</v>
          </cell>
          <cell r="BB42">
            <v>4.2999999999999999E-4</v>
          </cell>
          <cell r="BC42">
            <v>-0.84914708782033443</v>
          </cell>
          <cell r="BD42">
            <v>-1.1898363717786076</v>
          </cell>
          <cell r="BF42">
            <v>32</v>
          </cell>
          <cell r="BG42">
            <v>9.0499999999999999E-4</v>
          </cell>
          <cell r="BH42">
            <v>4.0499999999999998E-4</v>
          </cell>
          <cell r="BI42">
            <v>-1.3996</v>
          </cell>
          <cell r="BJ42">
            <v>-1.3325</v>
          </cell>
        </row>
        <row r="43">
          <cell r="AT43">
            <v>33</v>
          </cell>
          <cell r="AU43">
            <v>1.225E-3</v>
          </cell>
          <cell r="AV43">
            <v>5.3300000000000005E-4</v>
          </cell>
          <cell r="AW43">
            <v>-0.68859999999999999</v>
          </cell>
          <cell r="AX43">
            <v>-1.5323</v>
          </cell>
          <cell r="AZ43">
            <v>33</v>
          </cell>
          <cell r="BA43">
            <v>1.0499999999999999E-3</v>
          </cell>
          <cell r="BB43">
            <v>4.6000000000000001E-4</v>
          </cell>
          <cell r="BC43">
            <v>-0.75801937685233689</v>
          </cell>
          <cell r="BD43">
            <v>-1.1868723927687563</v>
          </cell>
          <cell r="BF43">
            <v>33</v>
          </cell>
          <cell r="BG43">
            <v>9.4499999999999998E-4</v>
          </cell>
          <cell r="BH43">
            <v>4.3800000000000002E-4</v>
          </cell>
          <cell r="BI43">
            <v>-1.2549999999999999</v>
          </cell>
          <cell r="BJ43">
            <v>-1.2143999999999999</v>
          </cell>
        </row>
        <row r="44">
          <cell r="AT44">
            <v>34</v>
          </cell>
          <cell r="AU44">
            <v>1.25E-3</v>
          </cell>
          <cell r="AV44">
            <v>5.6899999999999995E-4</v>
          </cell>
          <cell r="AW44">
            <v>-0.86990000000000001</v>
          </cell>
          <cell r="AX44">
            <v>-1.6285000000000001</v>
          </cell>
          <cell r="AZ44">
            <v>34</v>
          </cell>
          <cell r="BA44">
            <v>1.08E-3</v>
          </cell>
          <cell r="BB44">
            <v>4.8999999999999998E-4</v>
          </cell>
          <cell r="BC44">
            <v>-0.79946988580876788</v>
          </cell>
          <cell r="BD44">
            <v>-1.2436907245842788</v>
          </cell>
          <cell r="BF44">
            <v>34</v>
          </cell>
          <cell r="BG44">
            <v>9.8700000000000003E-4</v>
          </cell>
          <cell r="BH44">
            <v>4.7399999999999997E-4</v>
          </cell>
          <cell r="BI44">
            <v>-1.1425000000000001</v>
          </cell>
          <cell r="BJ44">
            <v>-1.1487000000000001</v>
          </cell>
        </row>
        <row r="45">
          <cell r="AT45">
            <v>35</v>
          </cell>
          <cell r="AU45">
            <v>1.284E-3</v>
          </cell>
          <cell r="AV45">
            <v>6.0999999999999997E-4</v>
          </cell>
          <cell r="AW45">
            <v>-1.0581</v>
          </cell>
          <cell r="AX45">
            <v>-1.7357</v>
          </cell>
          <cell r="AZ45">
            <v>35</v>
          </cell>
          <cell r="BA45">
            <v>1.1199999999999999E-3</v>
          </cell>
          <cell r="BB45">
            <v>5.2999999999999998E-4</v>
          </cell>
          <cell r="BC45">
            <v>-0.86017935180693339</v>
          </cell>
          <cell r="BD45">
            <v>-1.2725044263883878</v>
          </cell>
          <cell r="BF45">
            <v>35</v>
          </cell>
          <cell r="BG45">
            <v>1.031E-3</v>
          </cell>
          <cell r="BH45">
            <v>5.13E-4</v>
          </cell>
          <cell r="BI45">
            <v>-1.0872999999999999</v>
          </cell>
          <cell r="BJ45">
            <v>-1.1056999999999999</v>
          </cell>
        </row>
        <row r="46">
          <cell r="AT46">
            <v>36</v>
          </cell>
          <cell r="AU46">
            <v>1.3270000000000001E-3</v>
          </cell>
          <cell r="AV46">
            <v>6.5399999999999996E-4</v>
          </cell>
          <cell r="AW46">
            <v>-1.2508999999999999</v>
          </cell>
          <cell r="AX46">
            <v>-1.8537999999999999</v>
          </cell>
          <cell r="AZ46">
            <v>36</v>
          </cell>
          <cell r="BA46">
            <v>1.17E-3</v>
          </cell>
          <cell r="BB46">
            <v>5.6999999999999998E-4</v>
          </cell>
          <cell r="BC46">
            <v>-0.96242821256060651</v>
          </cell>
          <cell r="BD46">
            <v>-1.3467505293359716</v>
          </cell>
          <cell r="BF46">
            <v>36</v>
          </cell>
          <cell r="BG46">
            <v>1.0790000000000001E-3</v>
          </cell>
          <cell r="BH46">
            <v>5.5599999999999996E-4</v>
          </cell>
          <cell r="BI46">
            <v>-1.05</v>
          </cell>
          <cell r="BJ46">
            <v>-1.0874999999999999</v>
          </cell>
        </row>
        <row r="47">
          <cell r="AT47">
            <v>37</v>
          </cell>
          <cell r="AU47">
            <v>1.379E-3</v>
          </cell>
          <cell r="AV47">
            <v>7.0399999999999998E-4</v>
          </cell>
          <cell r="AW47">
            <v>-1.4467000000000001</v>
          </cell>
          <cell r="AX47">
            <v>-1.9823999999999999</v>
          </cell>
          <cell r="AZ47">
            <v>37</v>
          </cell>
          <cell r="BA47">
            <v>1.23E-3</v>
          </cell>
          <cell r="BB47">
            <v>6.2E-4</v>
          </cell>
          <cell r="BC47">
            <v>-1.0711024432167648</v>
          </cell>
          <cell r="BD47">
            <v>-1.4356034542169716</v>
          </cell>
          <cell r="BF47">
            <v>37</v>
          </cell>
          <cell r="BG47">
            <v>1.1329999999999999E-3</v>
          </cell>
          <cell r="BH47">
            <v>6.0400000000000004E-4</v>
          </cell>
          <cell r="BI47">
            <v>-1.0488</v>
          </cell>
          <cell r="BJ47">
            <v>-1.0918000000000001</v>
          </cell>
        </row>
        <row r="48">
          <cell r="AT48">
            <v>38</v>
          </cell>
          <cell r="AU48">
            <v>1.4400000000000001E-3</v>
          </cell>
          <cell r="AV48">
            <v>7.5699999999999997E-4</v>
          </cell>
          <cell r="AW48">
            <v>-1.6435999999999999</v>
          </cell>
          <cell r="AX48">
            <v>-2.1212</v>
          </cell>
          <cell r="AZ48">
            <v>38</v>
          </cell>
          <cell r="BA48">
            <v>1.2899999999999999E-3</v>
          </cell>
          <cell r="BB48">
            <v>6.7000000000000002E-4</v>
          </cell>
          <cell r="BC48">
            <v>-1.2349969006487438</v>
          </cell>
          <cell r="BD48">
            <v>-1.5495774838656384</v>
          </cell>
          <cell r="BF48">
            <v>38</v>
          </cell>
          <cell r="BG48">
            <v>1.193E-3</v>
          </cell>
          <cell r="BH48">
            <v>6.5700000000000003E-4</v>
          </cell>
          <cell r="BI48">
            <v>-1.0803</v>
          </cell>
          <cell r="BJ48">
            <v>-1.1160000000000001</v>
          </cell>
        </row>
        <row r="49">
          <cell r="AT49">
            <v>39</v>
          </cell>
          <cell r="AU49">
            <v>1.511E-3</v>
          </cell>
          <cell r="AV49">
            <v>8.1599999999999999E-4</v>
          </cell>
          <cell r="AW49">
            <v>-1.8396999999999999</v>
          </cell>
          <cell r="AX49">
            <v>-2.2700999999999998</v>
          </cell>
          <cell r="AZ49">
            <v>39</v>
          </cell>
          <cell r="BA49">
            <v>1.3600000000000001E-3</v>
          </cell>
          <cell r="BB49">
            <v>7.2999999999999996E-4</v>
          </cell>
          <cell r="BC49">
            <v>-1.3903848230878535</v>
          </cell>
          <cell r="BD49">
            <v>-1.6267075523842656</v>
          </cell>
          <cell r="BF49">
            <v>39</v>
          </cell>
          <cell r="BG49">
            <v>1.261E-3</v>
          </cell>
          <cell r="BH49">
            <v>7.1400000000000001E-4</v>
          </cell>
          <cell r="BI49">
            <v>-1.1315</v>
          </cell>
          <cell r="BJ49">
            <v>-1.1577</v>
          </cell>
        </row>
        <row r="50">
          <cell r="AT50">
            <v>40</v>
          </cell>
          <cell r="AU50">
            <v>1.593E-3</v>
          </cell>
          <cell r="AV50">
            <v>8.7900000000000001E-4</v>
          </cell>
          <cell r="AW50">
            <v>-2.0331999999999999</v>
          </cell>
          <cell r="AX50">
            <v>-2.4121000000000001</v>
          </cell>
          <cell r="AZ50">
            <v>40</v>
          </cell>
          <cell r="BA50">
            <v>1.4499999999999999E-3</v>
          </cell>
          <cell r="BB50">
            <v>8.0000000000000004E-4</v>
          </cell>
          <cell r="BC50">
            <v>-1.5449109880833589</v>
          </cell>
          <cell r="BD50">
            <v>-1.6738111189018023</v>
          </cell>
          <cell r="BF50">
            <v>40</v>
          </cell>
          <cell r="BG50">
            <v>1.338E-3</v>
          </cell>
          <cell r="BH50">
            <v>7.7700000000000002E-4</v>
          </cell>
          <cell r="BI50">
            <v>-1.1836</v>
          </cell>
          <cell r="BJ50">
            <v>-1.2144999999999999</v>
          </cell>
        </row>
        <row r="51">
          <cell r="AT51">
            <v>41</v>
          </cell>
          <cell r="AU51">
            <v>1.686E-3</v>
          </cell>
          <cell r="AV51">
            <v>9.4700000000000003E-4</v>
          </cell>
          <cell r="AW51">
            <v>-2.2223999999999999</v>
          </cell>
          <cell r="AX51">
            <v>-2.5299</v>
          </cell>
          <cell r="AZ51">
            <v>41</v>
          </cell>
          <cell r="BA51">
            <v>1.5399999999999999E-3</v>
          </cell>
          <cell r="BB51">
            <v>8.7000000000000001E-4</v>
          </cell>
          <cell r="BC51">
            <v>-1.7261997505977456</v>
          </cell>
          <cell r="BD51">
            <v>-1.7711151381487711</v>
          </cell>
          <cell r="BF51">
            <v>41</v>
          </cell>
          <cell r="BG51">
            <v>1.4239999999999999E-3</v>
          </cell>
          <cell r="BH51">
            <v>8.4599999999999996E-4</v>
          </cell>
          <cell r="BI51">
            <v>-1.2735000000000001</v>
          </cell>
          <cell r="BJ51">
            <v>-1.2839</v>
          </cell>
        </row>
        <row r="52">
          <cell r="AT52">
            <v>42</v>
          </cell>
          <cell r="AU52">
            <v>1.7899999999999999E-3</v>
          </cell>
          <cell r="AV52">
            <v>1.021E-3</v>
          </cell>
          <cell r="AW52">
            <v>-2.4054000000000002</v>
          </cell>
          <cell r="AX52">
            <v>-2.6248999999999998</v>
          </cell>
          <cell r="AZ52">
            <v>42</v>
          </cell>
          <cell r="BA52">
            <v>1.65E-3</v>
          </cell>
          <cell r="BB52">
            <v>9.5E-4</v>
          </cell>
          <cell r="BC52">
            <v>-1.8920745711603626</v>
          </cell>
          <cell r="BD52">
            <v>-1.8365380539762111</v>
          </cell>
          <cell r="BF52">
            <v>42</v>
          </cell>
          <cell r="BG52">
            <v>1.523E-3</v>
          </cell>
          <cell r="BH52">
            <v>9.2100000000000005E-4</v>
          </cell>
          <cell r="BI52">
            <v>-1.3768</v>
          </cell>
          <cell r="BJ52">
            <v>-1.3634999999999999</v>
          </cell>
        </row>
        <row r="53">
          <cell r="AT53">
            <v>43</v>
          </cell>
          <cell r="AU53">
            <v>1.9070000000000001E-3</v>
          </cell>
          <cell r="AV53">
            <v>1.103E-3</v>
          </cell>
          <cell r="AW53">
            <v>-2.5802999999999998</v>
          </cell>
          <cell r="AX53">
            <v>-2.6987999999999999</v>
          </cell>
          <cell r="AZ53">
            <v>43</v>
          </cell>
          <cell r="BA53">
            <v>1.7600000000000001E-3</v>
          </cell>
          <cell r="BB53">
            <v>1.0399999999999999E-3</v>
          </cell>
          <cell r="BC53">
            <v>-2.0580292958906066</v>
          </cell>
          <cell r="BD53">
            <v>-1.9000101821615822</v>
          </cell>
          <cell r="BF53">
            <v>43</v>
          </cell>
          <cell r="BG53">
            <v>1.634E-3</v>
          </cell>
          <cell r="BH53">
            <v>1.003E-3</v>
          </cell>
          <cell r="BI53">
            <v>-1.4796</v>
          </cell>
          <cell r="BJ53">
            <v>-1.4508000000000001</v>
          </cell>
        </row>
        <row r="54">
          <cell r="AT54">
            <v>44</v>
          </cell>
          <cell r="AU54">
            <v>2.0349999999999999E-3</v>
          </cell>
          <cell r="AV54">
            <v>1.194E-3</v>
          </cell>
          <cell r="AW54">
            <v>-2.7454000000000001</v>
          </cell>
          <cell r="AX54">
            <v>-2.7534999999999998</v>
          </cell>
          <cell r="AZ54">
            <v>44</v>
          </cell>
          <cell r="BA54">
            <v>1.9E-3</v>
          </cell>
          <cell r="BB54">
            <v>1.14E-3</v>
          </cell>
          <cell r="BC54">
            <v>-2.1959082735435675</v>
          </cell>
          <cell r="BD54">
            <v>-1.9601744532231624</v>
          </cell>
          <cell r="BF54">
            <v>44</v>
          </cell>
          <cell r="BG54">
            <v>1.758E-3</v>
          </cell>
          <cell r="BH54">
            <v>1.0920000000000001E-3</v>
          </cell>
          <cell r="BI54">
            <v>-1.5964</v>
          </cell>
          <cell r="BJ54">
            <v>-1.5435000000000001</v>
          </cell>
        </row>
        <row r="55">
          <cell r="AT55">
            <v>45</v>
          </cell>
          <cell r="AU55">
            <v>2.1770000000000001E-3</v>
          </cell>
          <cell r="AV55">
            <v>1.2960000000000001E-3</v>
          </cell>
          <cell r="AW55">
            <v>-2.8986999999999998</v>
          </cell>
          <cell r="AX55">
            <v>-2.7907000000000002</v>
          </cell>
          <cell r="AZ55">
            <v>45</v>
          </cell>
          <cell r="BA55">
            <v>2.0400000000000001E-3</v>
          </cell>
          <cell r="BB55">
            <v>1.24E-3</v>
          </cell>
          <cell r="BC55">
            <v>-2.3533973607904324</v>
          </cell>
          <cell r="BD55">
            <v>-2.0288843578111004</v>
          </cell>
          <cell r="BF55">
            <v>45</v>
          </cell>
          <cell r="BG55">
            <v>1.8979999999999999E-3</v>
          </cell>
          <cell r="BH55">
            <v>1.188E-3</v>
          </cell>
          <cell r="BI55">
            <v>-1.7165999999999999</v>
          </cell>
          <cell r="BJ55">
            <v>-1.6395999999999999</v>
          </cell>
        </row>
        <row r="56">
          <cell r="AT56">
            <v>46</v>
          </cell>
          <cell r="AU56">
            <v>2.3319999999999999E-3</v>
          </cell>
          <cell r="AV56">
            <v>1.41E-3</v>
          </cell>
          <cell r="AW56">
            <v>-3.0386000000000002</v>
          </cell>
          <cell r="AX56">
            <v>-2.8121999999999998</v>
          </cell>
          <cell r="AZ56">
            <v>46</v>
          </cell>
          <cell r="BA56">
            <v>2.2100000000000002E-3</v>
          </cell>
          <cell r="BB56">
            <v>1.3500000000000001E-3</v>
          </cell>
          <cell r="BC56">
            <v>-2.4701202206279471</v>
          </cell>
          <cell r="BD56">
            <v>-2.0744641122403928</v>
          </cell>
          <cell r="BF56">
            <v>46</v>
          </cell>
          <cell r="BG56">
            <v>2.055E-3</v>
          </cell>
          <cell r="BH56">
            <v>1.292E-3</v>
          </cell>
          <cell r="BI56">
            <v>-1.8315999999999999</v>
          </cell>
          <cell r="BJ56">
            <v>-1.7261</v>
          </cell>
        </row>
        <row r="57">
          <cell r="AT57">
            <v>47</v>
          </cell>
          <cell r="AU57">
            <v>2.5010000000000002E-3</v>
          </cell>
          <cell r="AV57">
            <v>1.537E-3</v>
          </cell>
          <cell r="AW57">
            <v>-3.1631</v>
          </cell>
          <cell r="AX57">
            <v>-2.8197999999999999</v>
          </cell>
          <cell r="AZ57">
            <v>47</v>
          </cell>
          <cell r="BA57">
            <v>2.3800000000000002E-3</v>
          </cell>
          <cell r="BB57">
            <v>1.47E-3</v>
          </cell>
          <cell r="BC57">
            <v>-2.5929096176294797</v>
          </cell>
          <cell r="BD57">
            <v>-2.1329107552589766</v>
          </cell>
          <cell r="BF57">
            <v>47</v>
          </cell>
          <cell r="BG57">
            <v>2.2290000000000001E-3</v>
          </cell>
          <cell r="BH57">
            <v>1.4040000000000001E-3</v>
          </cell>
          <cell r="BI57">
            <v>-1.9500999999999999</v>
          </cell>
          <cell r="BJ57">
            <v>-1.8008</v>
          </cell>
        </row>
        <row r="58">
          <cell r="AT58">
            <v>48</v>
          </cell>
          <cell r="AU58">
            <v>2.6900000000000001E-3</v>
          </cell>
          <cell r="AV58">
            <v>1.6800000000000001E-3</v>
          </cell>
          <cell r="AW58">
            <v>-3.2705000000000002</v>
          </cell>
          <cell r="AX58">
            <v>-2.8151999999999999</v>
          </cell>
          <cell r="AZ58">
            <v>48</v>
          </cell>
          <cell r="BA58">
            <v>2.5799999999999998E-3</v>
          </cell>
          <cell r="BB58">
            <v>1.5900000000000001E-3</v>
          </cell>
          <cell r="BC58">
            <v>-2.6910619999999996</v>
          </cell>
          <cell r="BD58">
            <v>-2.195982607561231</v>
          </cell>
          <cell r="BF58">
            <v>48</v>
          </cell>
          <cell r="BG58">
            <v>2.421E-3</v>
          </cell>
          <cell r="BH58">
            <v>1.524E-3</v>
          </cell>
          <cell r="BI58">
            <v>-2.0672000000000001</v>
          </cell>
          <cell r="BJ58">
            <v>-1.8632</v>
          </cell>
        </row>
        <row r="59">
          <cell r="AT59">
            <v>49</v>
          </cell>
          <cell r="AU59">
            <v>2.9039999999999999E-3</v>
          </cell>
          <cell r="AV59">
            <v>1.8389999999999999E-3</v>
          </cell>
          <cell r="AW59">
            <v>-3.3589000000000002</v>
          </cell>
          <cell r="AX59">
            <v>-2.8001</v>
          </cell>
          <cell r="AZ59">
            <v>49</v>
          </cell>
          <cell r="BA59">
            <v>2.8E-3</v>
          </cell>
          <cell r="BB59">
            <v>1.73E-3</v>
          </cell>
          <cell r="BC59">
            <v>-2.789615</v>
          </cell>
          <cell r="BD59">
            <v>-2.2425531371661256</v>
          </cell>
          <cell r="BF59">
            <v>49</v>
          </cell>
          <cell r="BG59">
            <v>2.6340000000000001E-3</v>
          </cell>
          <cell r="BH59">
            <v>1.653E-3</v>
          </cell>
          <cell r="BI59">
            <v>-2.1814</v>
          </cell>
          <cell r="BJ59">
            <v>-1.915</v>
          </cell>
        </row>
        <row r="60">
          <cell r="AT60">
            <v>50</v>
          </cell>
          <cell r="AU60">
            <v>3.1480000000000002E-3</v>
          </cell>
          <cell r="AV60">
            <v>2.016E-3</v>
          </cell>
          <cell r="AW60">
            <v>-3.4264999999999999</v>
          </cell>
          <cell r="AX60">
            <v>-2.7764000000000002</v>
          </cell>
          <cell r="AZ60">
            <v>50</v>
          </cell>
          <cell r="BA60">
            <v>3.0300000000000001E-3</v>
          </cell>
          <cell r="BB60">
            <v>1.8699999999999999E-3</v>
          </cell>
          <cell r="BC60">
            <v>-2.879594</v>
          </cell>
          <cell r="BD60">
            <v>-2.2934214524397589</v>
          </cell>
          <cell r="BF60">
            <v>50</v>
          </cell>
          <cell r="BG60">
            <v>2.8679999999999999E-3</v>
          </cell>
          <cell r="BH60">
            <v>1.792E-3</v>
          </cell>
          <cell r="BI60">
            <v>-2.2848999999999999</v>
          </cell>
          <cell r="BJ60">
            <v>-1.9783999999999999</v>
          </cell>
        </row>
        <row r="61">
          <cell r="AT61">
            <v>51</v>
          </cell>
          <cell r="AU61">
            <v>3.4290000000000002E-3</v>
          </cell>
          <cell r="AV61">
            <v>2.2130000000000001E-3</v>
          </cell>
          <cell r="AW61">
            <v>-3.4714999999999998</v>
          </cell>
          <cell r="AX61">
            <v>-2.7458999999999998</v>
          </cell>
          <cell r="AZ61">
            <v>51</v>
          </cell>
          <cell r="BA61">
            <v>3.29E-3</v>
          </cell>
          <cell r="BB61">
            <v>2.0200000000000001E-3</v>
          </cell>
          <cell r="BC61">
            <v>-2.961131</v>
          </cell>
          <cell r="BD61">
            <v>-2.3398782699999998</v>
          </cell>
          <cell r="BF61">
            <v>51</v>
          </cell>
          <cell r="BG61">
            <v>3.1250000000000002E-3</v>
          </cell>
          <cell r="BH61">
            <v>1.9400000000000001E-3</v>
          </cell>
          <cell r="BI61">
            <v>-2.3839999999999999</v>
          </cell>
          <cell r="BJ61">
            <v>-2.0396000000000001</v>
          </cell>
        </row>
        <row r="62">
          <cell r="AT62">
            <v>52</v>
          </cell>
          <cell r="AU62">
            <v>3.751E-3</v>
          </cell>
          <cell r="AV62">
            <v>2.4299999999999999E-3</v>
          </cell>
          <cell r="AW62">
            <v>-3.492</v>
          </cell>
          <cell r="AX62">
            <v>-2.7101999999999999</v>
          </cell>
          <cell r="AZ62">
            <v>52</v>
          </cell>
          <cell r="BA62">
            <v>3.5699999999999998E-3</v>
          </cell>
          <cell r="BB62">
            <v>2.1800000000000001E-3</v>
          </cell>
          <cell r="BC62">
            <v>-3.0343580000000001</v>
          </cell>
          <cell r="BD62">
            <v>-2.3728096700000001</v>
          </cell>
          <cell r="BF62">
            <v>52</v>
          </cell>
          <cell r="BG62">
            <v>3.405E-3</v>
          </cell>
          <cell r="BH62">
            <v>2.098E-3</v>
          </cell>
          <cell r="BI62">
            <v>-2.4784999999999999</v>
          </cell>
          <cell r="BJ62">
            <v>-2.0983000000000001</v>
          </cell>
        </row>
        <row r="63">
          <cell r="AT63">
            <v>53</v>
          </cell>
          <cell r="AU63">
            <v>4.1200000000000004E-3</v>
          </cell>
          <cell r="AV63">
            <v>2.6700000000000001E-3</v>
          </cell>
          <cell r="AW63">
            <v>-3.4863</v>
          </cell>
          <cell r="AX63">
            <v>-2.6711999999999998</v>
          </cell>
          <cell r="AZ63">
            <v>53</v>
          </cell>
          <cell r="BA63">
            <v>3.8600000000000001E-3</v>
          </cell>
          <cell r="BB63">
            <v>2.3500000000000001E-3</v>
          </cell>
          <cell r="BC63">
            <v>-3.0994069999999998</v>
          </cell>
          <cell r="BD63">
            <v>-2.4020476899999998</v>
          </cell>
          <cell r="BF63">
            <v>53</v>
          </cell>
          <cell r="BG63">
            <v>3.7100000000000002E-3</v>
          </cell>
          <cell r="BH63">
            <v>2.2659999999999998E-3</v>
          </cell>
          <cell r="BI63">
            <v>-2.5682</v>
          </cell>
          <cell r="BJ63">
            <v>-2.1545000000000001</v>
          </cell>
        </row>
        <row r="64">
          <cell r="AT64">
            <v>54</v>
          </cell>
          <cell r="AU64">
            <v>4.5409999999999999E-3</v>
          </cell>
          <cell r="AV64">
            <v>2.9329999999999998E-3</v>
          </cell>
          <cell r="AW64">
            <v>-3.4523999999999999</v>
          </cell>
          <cell r="AX64">
            <v>-2.6307</v>
          </cell>
          <cell r="AZ64">
            <v>54</v>
          </cell>
          <cell r="BA64">
            <v>4.1900000000000001E-3</v>
          </cell>
          <cell r="BB64">
            <v>2.5200000000000001E-3</v>
          </cell>
          <cell r="BC64">
            <v>-3.1564099999999997</v>
          </cell>
          <cell r="BD64">
            <v>-2.4278038299999998</v>
          </cell>
          <cell r="BF64">
            <v>54</v>
          </cell>
          <cell r="BG64">
            <v>4.0390000000000001E-3</v>
          </cell>
          <cell r="BH64">
            <v>2.4459999999999998E-3</v>
          </cell>
          <cell r="BI64">
            <v>-2.6528</v>
          </cell>
          <cell r="BJ64">
            <v>-2.2078000000000002</v>
          </cell>
        </row>
        <row r="65">
          <cell r="AT65">
            <v>55</v>
          </cell>
          <cell r="AU65">
            <v>5.0210000000000003E-3</v>
          </cell>
          <cell r="AV65">
            <v>3.222E-3</v>
          </cell>
          <cell r="AW65">
            <v>-3.4333</v>
          </cell>
          <cell r="AX65">
            <v>-2.5903</v>
          </cell>
          <cell r="AZ65">
            <v>55</v>
          </cell>
          <cell r="BA65">
            <v>4.5399999999999998E-3</v>
          </cell>
          <cell r="BB65">
            <v>2.7200000000000002E-3</v>
          </cell>
          <cell r="BC65">
            <v>-3.2054989999999997</v>
          </cell>
          <cell r="BD65">
            <v>-2.4502672699999999</v>
          </cell>
          <cell r="BF65">
            <v>55</v>
          </cell>
          <cell r="BG65">
            <v>4.3810000000000003E-3</v>
          </cell>
          <cell r="BH65">
            <v>2.637E-3</v>
          </cell>
          <cell r="BI65">
            <v>-2.7322000000000002</v>
          </cell>
          <cell r="BJ65">
            <v>-2.2583000000000002</v>
          </cell>
        </row>
        <row r="66">
          <cell r="AT66">
            <v>56</v>
          </cell>
          <cell r="AU66">
            <v>5.5640000000000004E-3</v>
          </cell>
          <cell r="AV66">
            <v>3.5379999999999999E-3</v>
          </cell>
          <cell r="AW66">
            <v>-3.4058999999999999</v>
          </cell>
          <cell r="AX66">
            <v>-2.5518999999999998</v>
          </cell>
          <cell r="AZ66">
            <v>56</v>
          </cell>
          <cell r="BA66">
            <v>4.9300000000000004E-3</v>
          </cell>
          <cell r="BB66">
            <v>2.96E-3</v>
          </cell>
          <cell r="BC66">
            <v>-3.2468059999999994</v>
          </cell>
          <cell r="BD66">
            <v>-2.46960487</v>
          </cell>
          <cell r="BF66">
            <v>56</v>
          </cell>
          <cell r="BG66">
            <v>4.7419999999999997E-3</v>
          </cell>
          <cell r="BH66">
            <v>2.8470000000000001E-3</v>
          </cell>
          <cell r="BI66">
            <v>-2.8060999999999998</v>
          </cell>
          <cell r="BJ66">
            <v>-2.3056000000000001</v>
          </cell>
        </row>
        <row r="67">
          <cell r="AT67">
            <v>57</v>
          </cell>
          <cell r="AU67">
            <v>6.1770000000000002E-3</v>
          </cell>
          <cell r="AV67">
            <v>3.8809999999999999E-3</v>
          </cell>
          <cell r="AW67">
            <v>-3.3755000000000002</v>
          </cell>
          <cell r="AX67">
            <v>-2.5171999999999999</v>
          </cell>
          <cell r="AZ67">
            <v>57</v>
          </cell>
          <cell r="BA67">
            <v>5.3800000000000002E-3</v>
          </cell>
          <cell r="BB67">
            <v>3.2499999999999999E-3</v>
          </cell>
          <cell r="BC67">
            <v>-3.2804629999999992</v>
          </cell>
          <cell r="BD67">
            <v>-2.4859611699999999</v>
          </cell>
          <cell r="BF67">
            <v>57</v>
          </cell>
          <cell r="BG67">
            <v>5.1339999999999997E-3</v>
          </cell>
          <cell r="BH67">
            <v>3.0839999999999999E-3</v>
          </cell>
          <cell r="BI67">
            <v>-2.8742999999999999</v>
          </cell>
          <cell r="BJ67">
            <v>-2.3496999999999999</v>
          </cell>
        </row>
        <row r="68">
          <cell r="AT68">
            <v>58</v>
          </cell>
          <cell r="AU68">
            <v>6.8630000000000002E-3</v>
          </cell>
          <cell r="AV68">
            <v>4.254E-3</v>
          </cell>
          <cell r="AW68">
            <v>-3.3420000000000001</v>
          </cell>
          <cell r="AX68">
            <v>-2.488</v>
          </cell>
          <cell r="AZ68">
            <v>58</v>
          </cell>
          <cell r="BA68">
            <v>5.9100000000000003E-3</v>
          </cell>
          <cell r="BB68">
            <v>3.5799999999999998E-3</v>
          </cell>
          <cell r="BC68">
            <v>-3.3066019999999994</v>
          </cell>
          <cell r="BD68">
            <v>-2.4994583899999996</v>
          </cell>
          <cell r="BF68">
            <v>58</v>
          </cell>
          <cell r="BG68">
            <v>5.568E-3</v>
          </cell>
          <cell r="BH68">
            <v>3.3540000000000002E-3</v>
          </cell>
          <cell r="BI68">
            <v>-2.9365000000000001</v>
          </cell>
          <cell r="BJ68">
            <v>-2.3902999999999999</v>
          </cell>
        </row>
        <row r="69">
          <cell r="AT69">
            <v>59</v>
          </cell>
          <cell r="AU69">
            <v>7.6299999999999996E-3</v>
          </cell>
          <cell r="AV69">
            <v>4.6579999999999998E-3</v>
          </cell>
          <cell r="AW69">
            <v>-3.3056000000000001</v>
          </cell>
          <cell r="AX69">
            <v>-2.4661</v>
          </cell>
          <cell r="AZ69">
            <v>59</v>
          </cell>
          <cell r="BA69">
            <v>6.5199999999999998E-3</v>
          </cell>
          <cell r="BB69">
            <v>3.9500000000000004E-3</v>
          </cell>
          <cell r="BC69">
            <v>-3.3253550000000001</v>
          </cell>
          <cell r="BD69">
            <v>-2.5101964299999993</v>
          </cell>
          <cell r="BF69">
            <v>59</v>
          </cell>
          <cell r="BG69">
            <v>6.0530000000000002E-3</v>
          </cell>
          <cell r="BH69">
            <v>3.6640000000000002E-3</v>
          </cell>
          <cell r="BI69">
            <v>-2.9925000000000002</v>
          </cell>
          <cell r="BJ69">
            <v>-2.4272999999999998</v>
          </cell>
        </row>
        <row r="70">
          <cell r="AT70">
            <v>60</v>
          </cell>
          <cell r="AU70">
            <v>8.482E-3</v>
          </cell>
          <cell r="AV70">
            <v>5.0949999999999997E-3</v>
          </cell>
          <cell r="AW70">
            <v>-3.2665000000000002</v>
          </cell>
          <cell r="AX70">
            <v>-2.4563000000000001</v>
          </cell>
          <cell r="AZ70">
            <v>60</v>
          </cell>
          <cell r="BA70">
            <v>7.2100000000000003E-3</v>
          </cell>
          <cell r="BB70">
            <v>4.3600000000000002E-3</v>
          </cell>
          <cell r="BC70">
            <v>-3.3368540000000002</v>
          </cell>
          <cell r="BD70">
            <v>-2.51825287</v>
          </cell>
          <cell r="BF70">
            <v>60</v>
          </cell>
          <cell r="BG70">
            <v>6.6E-3</v>
          </cell>
          <cell r="BH70">
            <v>4.0080000000000003E-3</v>
          </cell>
          <cell r="BI70">
            <v>-3.0421</v>
          </cell>
          <cell r="BJ70">
            <v>-2.4605000000000001</v>
          </cell>
        </row>
        <row r="71">
          <cell r="AT71">
            <v>61</v>
          </cell>
          <cell r="AU71">
            <v>9.4240000000000001E-3</v>
          </cell>
          <cell r="AV71">
            <v>5.5659999999999998E-3</v>
          </cell>
          <cell r="AW71">
            <v>-3.2246999999999999</v>
          </cell>
          <cell r="AX71">
            <v>-2.4565000000000001</v>
          </cell>
          <cell r="AZ71">
            <v>61</v>
          </cell>
          <cell r="BA71">
            <v>7.9900000000000006E-3</v>
          </cell>
          <cell r="BB71">
            <v>4.79E-3</v>
          </cell>
          <cell r="BC71">
            <v>-3.3412310000000001</v>
          </cell>
          <cell r="BD71">
            <v>-2.5236829699999999</v>
          </cell>
          <cell r="BF71">
            <v>61</v>
          </cell>
          <cell r="BG71">
            <v>7.2199999999999999E-3</v>
          </cell>
          <cell r="BH71">
            <v>4.3779999999999999E-3</v>
          </cell>
          <cell r="BI71">
            <v>-3.0851000000000002</v>
          </cell>
          <cell r="BJ71">
            <v>-2.4897</v>
          </cell>
        </row>
        <row r="72">
          <cell r="AT72">
            <v>62</v>
          </cell>
          <cell r="AU72">
            <v>1.0462000000000001E-2</v>
          </cell>
          <cell r="AV72">
            <v>6.071E-3</v>
          </cell>
          <cell r="AW72">
            <v>-3.1802999999999999</v>
          </cell>
          <cell r="AX72">
            <v>-2.4651000000000001</v>
          </cell>
          <cell r="AZ72">
            <v>62</v>
          </cell>
          <cell r="BA72">
            <v>8.8500000000000002E-3</v>
          </cell>
          <cell r="BB72">
            <v>5.2399999999999999E-3</v>
          </cell>
          <cell r="BC72">
            <v>-3.3386180000000003</v>
          </cell>
          <cell r="BD72">
            <v>-2.526519669999999</v>
          </cell>
          <cell r="BF72">
            <v>62</v>
          </cell>
          <cell r="BG72">
            <v>7.9209999999999992E-3</v>
          </cell>
          <cell r="BH72">
            <v>4.7710000000000001E-3</v>
          </cell>
          <cell r="BI72">
            <v>-3.1212</v>
          </cell>
          <cell r="BJ72">
            <v>-2.5146999999999999</v>
          </cell>
        </row>
        <row r="73">
          <cell r="AT73">
            <v>63</v>
          </cell>
          <cell r="AU73">
            <v>1.1601999999999999E-2</v>
          </cell>
          <cell r="AV73">
            <v>6.6169999999999996E-3</v>
          </cell>
          <cell r="AW73">
            <v>-3.1334</v>
          </cell>
          <cell r="AX73">
            <v>-2.4794999999999998</v>
          </cell>
          <cell r="AZ73">
            <v>63</v>
          </cell>
          <cell r="BA73">
            <v>9.8099999999999993E-3</v>
          </cell>
          <cell r="BB73">
            <v>5.7200000000000003E-3</v>
          </cell>
          <cell r="BC73">
            <v>-3.3291469999999999</v>
          </cell>
          <cell r="BD73">
            <v>-2.5267735899999999</v>
          </cell>
          <cell r="BF73">
            <v>63</v>
          </cell>
          <cell r="BG73">
            <v>8.7039999999999999E-3</v>
          </cell>
          <cell r="BH73">
            <v>5.1960000000000001E-3</v>
          </cell>
          <cell r="BI73">
            <v>-3.1501999999999999</v>
          </cell>
          <cell r="BJ73">
            <v>-2.5354999999999999</v>
          </cell>
        </row>
        <row r="74">
          <cell r="AT74">
            <v>64</v>
          </cell>
          <cell r="AU74">
            <v>1.2847000000000001E-2</v>
          </cell>
          <cell r="AV74">
            <v>7.2179999999999996E-3</v>
          </cell>
          <cell r="AW74">
            <v>-3.0842000000000001</v>
          </cell>
          <cell r="AX74">
            <v>-2.4961000000000002</v>
          </cell>
          <cell r="AZ74">
            <v>64</v>
          </cell>
          <cell r="BA74">
            <v>1.085E-2</v>
          </cell>
          <cell r="BB74">
            <v>6.2300000000000003E-3</v>
          </cell>
          <cell r="BC74">
            <v>-3.3129499999999998</v>
          </cell>
          <cell r="BD74">
            <v>-2.52443303</v>
          </cell>
          <cell r="BF74">
            <v>64</v>
          </cell>
          <cell r="BG74">
            <v>9.5659999999999999E-3</v>
          </cell>
          <cell r="BH74">
            <v>5.6680000000000003E-3</v>
          </cell>
          <cell r="BI74">
            <v>-3.1718999999999999</v>
          </cell>
          <cell r="BJ74">
            <v>-2.5516999999999999</v>
          </cell>
        </row>
        <row r="75">
          <cell r="AT75">
            <v>65</v>
          </cell>
          <cell r="AU75">
            <v>1.4204E-2</v>
          </cell>
          <cell r="AV75">
            <v>7.8949999999999992E-3</v>
          </cell>
          <cell r="AW75">
            <v>-3.0327999999999999</v>
          </cell>
          <cell r="AX75">
            <v>-2.5108000000000001</v>
          </cell>
          <cell r="AZ75">
            <v>65</v>
          </cell>
          <cell r="BA75">
            <v>1.2E-2</v>
          </cell>
          <cell r="BB75">
            <v>6.79E-3</v>
          </cell>
          <cell r="BC75">
            <v>-3.2901590000000001</v>
          </cell>
          <cell r="BD75">
            <v>-2.5194639699999999</v>
          </cell>
          <cell r="BF75">
            <v>65</v>
          </cell>
          <cell r="BG75">
            <v>1.0505E-2</v>
          </cell>
          <cell r="BH75">
            <v>6.2030000000000002E-3</v>
          </cell>
          <cell r="BI75">
            <v>-3.1859999999999999</v>
          </cell>
          <cell r="BJ75">
            <v>-2.5632999999999999</v>
          </cell>
        </row>
        <row r="76">
          <cell r="AT76">
            <v>66</v>
          </cell>
          <cell r="AU76">
            <v>1.5681E-2</v>
          </cell>
          <cell r="AV76">
            <v>8.6669999999999994E-3</v>
          </cell>
          <cell r="AW76">
            <v>-2.9792000000000001</v>
          </cell>
          <cell r="AX76">
            <v>-2.5183</v>
          </cell>
          <cell r="AZ76">
            <v>66</v>
          </cell>
          <cell r="BA76">
            <v>1.323E-2</v>
          </cell>
          <cell r="BB76">
            <v>7.43E-3</v>
          </cell>
          <cell r="BC76">
            <v>-3.2609059999999994</v>
          </cell>
          <cell r="BD76">
            <v>-2.5118100699999997</v>
          </cell>
          <cell r="BF76">
            <v>66</v>
          </cell>
          <cell r="BG76">
            <v>1.1519E-2</v>
          </cell>
          <cell r="BH76">
            <v>6.8139999999999997E-3</v>
          </cell>
          <cell r="BI76">
            <v>-3.1924000000000001</v>
          </cell>
          <cell r="BJ76">
            <v>-2.57</v>
          </cell>
        </row>
        <row r="77">
          <cell r="AT77">
            <v>67</v>
          </cell>
          <cell r="AU77">
            <v>1.7305999999999998E-2</v>
          </cell>
          <cell r="AV77">
            <v>9.5519999999999997E-3</v>
          </cell>
          <cell r="AW77">
            <v>-2.9235000000000002</v>
          </cell>
          <cell r="AX77">
            <v>-2.5127000000000002</v>
          </cell>
          <cell r="AZ77">
            <v>67</v>
          </cell>
          <cell r="BA77">
            <v>1.457E-2</v>
          </cell>
          <cell r="BB77">
            <v>8.1700000000000002E-3</v>
          </cell>
          <cell r="BC77">
            <v>-3.2253229999999995</v>
          </cell>
          <cell r="BD77">
            <v>-2.5013926699999995</v>
          </cell>
          <cell r="BF77">
            <v>67</v>
          </cell>
          <cell r="BG77">
            <v>1.2614E-2</v>
          </cell>
          <cell r="BH77">
            <v>7.515E-3</v>
          </cell>
          <cell r="BI77">
            <v>-3.1907999999999999</v>
          </cell>
          <cell r="BJ77">
            <v>-2.5716999999999999</v>
          </cell>
        </row>
        <row r="78">
          <cell r="AT78">
            <v>68</v>
          </cell>
          <cell r="AU78">
            <v>1.9108E-2</v>
          </cell>
          <cell r="AV78">
            <v>1.0571000000000001E-2</v>
          </cell>
          <cell r="AW78">
            <v>-2.8658999999999999</v>
          </cell>
          <cell r="AX78">
            <v>-2.4870000000000001</v>
          </cell>
          <cell r="AZ78">
            <v>68</v>
          </cell>
          <cell r="BA78">
            <v>1.601E-2</v>
          </cell>
          <cell r="BB78">
            <v>9.0200000000000002E-3</v>
          </cell>
          <cell r="BC78">
            <v>-3.1835419999999996</v>
          </cell>
          <cell r="BD78">
            <v>-2.4881107899999999</v>
          </cell>
          <cell r="BF78">
            <v>68</v>
          </cell>
          <cell r="BG78">
            <v>1.3821999999999999E-2</v>
          </cell>
          <cell r="BH78">
            <v>8.3210000000000003E-3</v>
          </cell>
          <cell r="BI78">
            <v>-3.1808999999999998</v>
          </cell>
          <cell r="BJ78">
            <v>-2.5682999999999998</v>
          </cell>
        </row>
        <row r="79">
          <cell r="AT79">
            <v>69</v>
          </cell>
          <cell r="AU79">
            <v>2.112E-2</v>
          </cell>
          <cell r="AV79">
            <v>1.1742000000000001E-2</v>
          </cell>
          <cell r="AW79">
            <v>-2.8065000000000002</v>
          </cell>
          <cell r="AX79">
            <v>-2.4550999999999998</v>
          </cell>
          <cell r="AZ79">
            <v>69</v>
          </cell>
          <cell r="BA79">
            <v>1.755E-2</v>
          </cell>
          <cell r="BB79">
            <v>1.001E-2</v>
          </cell>
          <cell r="BC79">
            <v>-3.1356949999999992</v>
          </cell>
          <cell r="BD79">
            <v>-2.4718411299999992</v>
          </cell>
          <cell r="BF79">
            <v>69</v>
          </cell>
          <cell r="BG79">
            <v>1.5186E-2</v>
          </cell>
          <cell r="BH79">
            <v>9.2460000000000007E-3</v>
          </cell>
          <cell r="BI79">
            <v>-3.1625000000000001</v>
          </cell>
          <cell r="BJ79">
            <v>-2.5594000000000001</v>
          </cell>
        </row>
        <row r="80">
          <cell r="AT80">
            <v>70</v>
          </cell>
          <cell r="AU80">
            <v>2.3369000000000001E-2</v>
          </cell>
          <cell r="AV80">
            <v>1.3084E-2</v>
          </cell>
          <cell r="AW80">
            <v>-2.7452999999999999</v>
          </cell>
          <cell r="AX80">
            <v>-2.4007000000000001</v>
          </cell>
          <cell r="AZ80">
            <v>70</v>
          </cell>
          <cell r="BA80">
            <v>1.9199999999999998E-2</v>
          </cell>
          <cell r="BB80">
            <v>1.115E-2</v>
          </cell>
          <cell r="BC80">
            <v>-3.0819139999999994</v>
          </cell>
          <cell r="BD80">
            <v>-2.4524380699999995</v>
          </cell>
          <cell r="BF80">
            <v>70</v>
          </cell>
          <cell r="BG80">
            <v>1.6744999999999999E-2</v>
          </cell>
          <cell r="BH80">
            <v>1.0305E-2</v>
          </cell>
          <cell r="BI80">
            <v>-3.1355</v>
          </cell>
          <cell r="BJ80">
            <v>-2.5451000000000001</v>
          </cell>
        </row>
        <row r="81">
          <cell r="AT81">
            <v>71</v>
          </cell>
          <cell r="AU81">
            <v>2.5887E-2</v>
          </cell>
          <cell r="AV81">
            <v>1.4615E-2</v>
          </cell>
          <cell r="AW81">
            <v>-2.6825999999999999</v>
          </cell>
          <cell r="AX81">
            <v>-2.3458999999999999</v>
          </cell>
          <cell r="AZ81">
            <v>71</v>
          </cell>
          <cell r="BA81">
            <v>2.1000000000000001E-2</v>
          </cell>
          <cell r="BB81">
            <v>1.2460000000000001E-2</v>
          </cell>
          <cell r="BC81">
            <v>-3.0223309999999994</v>
          </cell>
          <cell r="BD81">
            <v>-2.4297336699999996</v>
          </cell>
          <cell r="BF81">
            <v>71</v>
          </cell>
          <cell r="BG81">
            <v>1.8540000000000001E-2</v>
          </cell>
          <cell r="BH81">
            <v>1.1509999999999999E-2</v>
          </cell>
          <cell r="BI81">
            <v>-3.0996000000000001</v>
          </cell>
          <cell r="BJ81">
            <v>-2.5249999999999999</v>
          </cell>
        </row>
        <row r="82">
          <cell r="AT82">
            <v>72</v>
          </cell>
          <cell r="AU82">
            <v>2.8702999999999999E-2</v>
          </cell>
          <cell r="AV82">
            <v>1.6374E-2</v>
          </cell>
          <cell r="AW82">
            <v>-2.6183000000000001</v>
          </cell>
          <cell r="AX82">
            <v>-2.3088000000000002</v>
          </cell>
          <cell r="AZ82">
            <v>72</v>
          </cell>
          <cell r="BA82">
            <v>2.3199999999999998E-2</v>
          </cell>
          <cell r="BB82">
            <v>1.397E-2</v>
          </cell>
          <cell r="BC82">
            <v>-2.9570779999999997</v>
          </cell>
          <cell r="BD82">
            <v>-2.40353767</v>
          </cell>
          <cell r="BF82">
            <v>72</v>
          </cell>
          <cell r="BG82">
            <v>2.0611999999999998E-2</v>
          </cell>
          <cell r="BH82">
            <v>1.2877E-2</v>
          </cell>
          <cell r="BI82">
            <v>-3.0545</v>
          </cell>
          <cell r="BJ82">
            <v>-2.4990999999999999</v>
          </cell>
        </row>
        <row r="83">
          <cell r="AT83">
            <v>73</v>
          </cell>
          <cell r="AU83">
            <v>3.1843999999999997E-2</v>
          </cell>
          <cell r="AV83">
            <v>1.8412000000000001E-2</v>
          </cell>
          <cell r="AW83">
            <v>-2.5526</v>
          </cell>
          <cell r="AX83">
            <v>-2.3071999999999999</v>
          </cell>
          <cell r="AZ83">
            <v>73</v>
          </cell>
          <cell r="BA83">
            <v>2.6020000000000001E-2</v>
          </cell>
          <cell r="BB83">
            <v>1.5679999999999999E-2</v>
          </cell>
          <cell r="BC83">
            <v>-2.8862869999999994</v>
          </cell>
          <cell r="BD83">
            <v>-2.3736374900000001</v>
          </cell>
          <cell r="BF83">
            <v>73</v>
          </cell>
          <cell r="BG83">
            <v>2.2998000000000001E-2</v>
          </cell>
          <cell r="BH83">
            <v>1.4418E-2</v>
          </cell>
          <cell r="BI83">
            <v>-3</v>
          </cell>
          <cell r="BJ83">
            <v>-2.4670999999999998</v>
          </cell>
        </row>
        <row r="84">
          <cell r="AT84">
            <v>74</v>
          </cell>
          <cell r="AU84">
            <v>3.5338000000000001E-2</v>
          </cell>
          <cell r="AV84">
            <v>2.0565E-2</v>
          </cell>
          <cell r="AW84">
            <v>-2.4855999999999998</v>
          </cell>
          <cell r="AX84">
            <v>-2.3001999999999998</v>
          </cell>
          <cell r="AZ84">
            <v>74</v>
          </cell>
          <cell r="BA84">
            <v>2.938E-2</v>
          </cell>
          <cell r="BB84">
            <v>1.763E-2</v>
          </cell>
          <cell r="BC84">
            <v>-2.8100899999999998</v>
          </cell>
          <cell r="BD84">
            <v>-2.3397982299999991</v>
          </cell>
          <cell r="BF84">
            <v>74</v>
          </cell>
          <cell r="BG84">
            <v>2.5738E-2</v>
          </cell>
          <cell r="BH84">
            <v>1.6147999999999999E-2</v>
          </cell>
          <cell r="BI84">
            <v>-2.9359000000000002</v>
          </cell>
          <cell r="BJ84">
            <v>-2.4287999999999998</v>
          </cell>
        </row>
        <row r="85">
          <cell r="AT85">
            <v>75</v>
          </cell>
          <cell r="AU85">
            <v>3.9212999999999998E-2</v>
          </cell>
          <cell r="AV85">
            <v>2.2692E-2</v>
          </cell>
          <cell r="AW85">
            <v>-2.4174000000000002</v>
          </cell>
          <cell r="AX85">
            <v>-2.2938999999999998</v>
          </cell>
          <cell r="AZ85">
            <v>75</v>
          </cell>
          <cell r="BA85">
            <v>3.3119999999999997E-2</v>
          </cell>
          <cell r="BB85">
            <v>1.9820000000000001E-2</v>
          </cell>
          <cell r="BC85">
            <v>-2.7286189999999997</v>
          </cell>
          <cell r="BD85">
            <v>-2.3017626699999996</v>
          </cell>
          <cell r="BF85">
            <v>75</v>
          </cell>
          <cell r="BG85">
            <v>2.887E-2</v>
          </cell>
          <cell r="BH85">
            <v>1.8079999999999999E-2</v>
          </cell>
          <cell r="BI85">
            <v>-2.8586999999999998</v>
          </cell>
          <cell r="BJ85">
            <v>-2.3841999999999999</v>
          </cell>
        </row>
        <row r="86">
          <cell r="AT86">
            <v>76</v>
          </cell>
          <cell r="AU86">
            <v>4.3494999999999999E-2</v>
          </cell>
          <cell r="AV86">
            <v>2.4997999999999999E-2</v>
          </cell>
          <cell r="AW86">
            <v>-2.3481000000000001</v>
          </cell>
          <cell r="AX86">
            <v>-2.2856999999999998</v>
          </cell>
          <cell r="AZ86">
            <v>76</v>
          </cell>
          <cell r="BA86">
            <v>3.7159999999999999E-2</v>
          </cell>
          <cell r="BB86">
            <v>2.2280000000000001E-2</v>
          </cell>
          <cell r="BC86">
            <v>-2.6374579931994435</v>
          </cell>
          <cell r="BD86">
            <v>-2.2592512699999996</v>
          </cell>
          <cell r="BF86">
            <v>76</v>
          </cell>
          <cell r="BG86">
            <v>3.243E-2</v>
          </cell>
          <cell r="BH86">
            <v>2.0242E-2</v>
          </cell>
          <cell r="BI86">
            <v>-2.7673000000000001</v>
          </cell>
          <cell r="BJ86">
            <v>-2.3330000000000002</v>
          </cell>
        </row>
        <row r="87">
          <cell r="AT87">
            <v>77</v>
          </cell>
          <cell r="AU87">
            <v>4.8208000000000001E-2</v>
          </cell>
          <cell r="AV87">
            <v>2.7767E-2</v>
          </cell>
          <cell r="AW87">
            <v>-2.2778999999999998</v>
          </cell>
          <cell r="AX87">
            <v>-2.2728000000000002</v>
          </cell>
          <cell r="AZ87">
            <v>77</v>
          </cell>
          <cell r="BA87">
            <v>4.1529999999999997E-2</v>
          </cell>
          <cell r="BB87">
            <v>2.511E-2</v>
          </cell>
          <cell r="BC87">
            <v>-2.5299420784297477</v>
          </cell>
          <cell r="BD87">
            <v>-2.2119621699999996</v>
          </cell>
          <cell r="BF87">
            <v>77</v>
          </cell>
          <cell r="BG87">
            <v>3.6455000000000001E-2</v>
          </cell>
          <cell r="BH87">
            <v>2.2726E-2</v>
          </cell>
          <cell r="BI87">
            <v>-2.6629</v>
          </cell>
          <cell r="BJ87">
            <v>-2.2749999999999999</v>
          </cell>
        </row>
        <row r="88">
          <cell r="AT88">
            <v>78</v>
          </cell>
          <cell r="AU88">
            <v>5.3377000000000001E-2</v>
          </cell>
          <cell r="AV88">
            <v>3.1233E-2</v>
          </cell>
          <cell r="AW88">
            <v>-2.2067000000000001</v>
          </cell>
          <cell r="AX88">
            <v>-2.2524999999999999</v>
          </cell>
          <cell r="AZ88">
            <v>78</v>
          </cell>
          <cell r="BA88">
            <v>4.6339999999999999E-2</v>
          </cell>
          <cell r="BB88">
            <v>2.8379999999999999E-2</v>
          </cell>
          <cell r="BC88">
            <v>-2.4239238157736875</v>
          </cell>
          <cell r="BD88">
            <v>-2.1807685646678121</v>
          </cell>
          <cell r="BF88">
            <v>78</v>
          </cell>
          <cell r="BG88">
            <v>4.0987000000000003E-2</v>
          </cell>
          <cell r="BH88">
            <v>2.5638000000000001E-2</v>
          </cell>
          <cell r="BI88">
            <v>-2.5482</v>
          </cell>
          <cell r="BJ88">
            <v>-2.2101000000000002</v>
          </cell>
        </row>
        <row r="89">
          <cell r="AT89">
            <v>79</v>
          </cell>
          <cell r="AU89">
            <v>5.8826000000000003E-2</v>
          </cell>
          <cell r="AV89">
            <v>3.5435000000000001E-2</v>
          </cell>
          <cell r="AW89">
            <v>-2.1347999999999998</v>
          </cell>
          <cell r="AX89">
            <v>-2.2222</v>
          </cell>
          <cell r="AZ89">
            <v>79</v>
          </cell>
          <cell r="BA89">
            <v>5.1670000000000001E-2</v>
          </cell>
          <cell r="BB89">
            <v>3.2190000000000003E-2</v>
          </cell>
          <cell r="BC89">
            <v>-2.3171634912590111</v>
          </cell>
          <cell r="BD89">
            <v>-2.1319985563002297</v>
          </cell>
          <cell r="BF89">
            <v>79</v>
          </cell>
          <cell r="BG89">
            <v>4.6103999999999999E-2</v>
          </cell>
          <cell r="BH89">
            <v>2.9082E-2</v>
          </cell>
          <cell r="BI89">
            <v>-2.4247999999999998</v>
          </cell>
          <cell r="BJ89">
            <v>-2.1381999999999999</v>
          </cell>
        </row>
        <row r="90">
          <cell r="AT90">
            <v>80</v>
          </cell>
          <cell r="AU90">
            <v>6.3990000000000005E-2</v>
          </cell>
          <cell r="AV90">
            <v>4.0358999999999999E-2</v>
          </cell>
          <cell r="AW90">
            <v>-2.0621999999999998</v>
          </cell>
          <cell r="AX90">
            <v>-2.1375999999999999</v>
          </cell>
          <cell r="AZ90">
            <v>80</v>
          </cell>
          <cell r="BA90">
            <v>5.7599999999999998E-2</v>
          </cell>
          <cell r="BB90">
            <v>3.6609999999999997E-2</v>
          </cell>
          <cell r="BC90">
            <v>-2.2066042253949814</v>
          </cell>
          <cell r="BD90">
            <v>-2.0719151221177734</v>
          </cell>
          <cell r="BF90">
            <v>80</v>
          </cell>
          <cell r="BG90">
            <v>5.1887000000000003E-2</v>
          </cell>
          <cell r="BH90">
            <v>3.3160000000000002E-2</v>
          </cell>
          <cell r="BI90">
            <v>-2.2927</v>
          </cell>
          <cell r="BJ90">
            <v>-2.0589</v>
          </cell>
        </row>
        <row r="91">
          <cell r="AT91">
            <v>81</v>
          </cell>
          <cell r="AU91">
            <v>6.9693000000000005E-2</v>
          </cell>
          <cell r="AV91">
            <v>4.5991999999999998E-2</v>
          </cell>
          <cell r="AW91">
            <v>-1.9891000000000001</v>
          </cell>
          <cell r="AX91">
            <v>-2.0697000000000001</v>
          </cell>
          <cell r="AZ91">
            <v>81</v>
          </cell>
          <cell r="BA91">
            <v>6.4219999999999999E-2</v>
          </cell>
          <cell r="BB91">
            <v>4.1750000000000002E-2</v>
          </cell>
          <cell r="BC91">
            <v>-2.0924623592720404</v>
          </cell>
          <cell r="BD91">
            <v>-1.9980828028405506</v>
          </cell>
          <cell r="BF91">
            <v>81</v>
          </cell>
          <cell r="BG91">
            <v>5.8416999999999997E-2</v>
          </cell>
          <cell r="BH91">
            <v>3.7969999999999997E-2</v>
          </cell>
          <cell r="BI91">
            <v>-2.1568999999999998</v>
          </cell>
          <cell r="BJ91">
            <v>-1.9722</v>
          </cell>
        </row>
        <row r="92">
          <cell r="AT92">
            <v>82</v>
          </cell>
          <cell r="AU92">
            <v>7.6871999999999996E-2</v>
          </cell>
          <cell r="AV92">
            <v>5.2318000000000003E-2</v>
          </cell>
          <cell r="AW92">
            <v>-1.9154</v>
          </cell>
          <cell r="AX92">
            <v>-1.9795</v>
          </cell>
          <cell r="AZ92">
            <v>82</v>
          </cell>
          <cell r="BA92">
            <v>7.1599999999999997E-2</v>
          </cell>
          <cell r="BB92">
            <v>4.7669999999999997E-2</v>
          </cell>
          <cell r="BC92">
            <v>-1.9748665568887991</v>
          </cell>
          <cell r="BD92">
            <v>-1.9149932466830499</v>
          </cell>
          <cell r="BF92">
            <v>82</v>
          </cell>
          <cell r="BG92">
            <v>6.5767000000000006E-2</v>
          </cell>
          <cell r="BH92">
            <v>4.3608000000000001E-2</v>
          </cell>
          <cell r="BI92">
            <v>-2.0236999999999998</v>
          </cell>
          <cell r="BJ92">
            <v>-1.8778999999999999</v>
          </cell>
        </row>
        <row r="93">
          <cell r="AT93">
            <v>83</v>
          </cell>
          <cell r="AU93">
            <v>8.5453000000000001E-2</v>
          </cell>
          <cell r="AV93">
            <v>5.9320999999999999E-2</v>
          </cell>
          <cell r="AW93">
            <v>-1.8414999999999999</v>
          </cell>
          <cell r="AX93">
            <v>-1.8797999999999999</v>
          </cell>
          <cell r="AZ93">
            <v>83</v>
          </cell>
          <cell r="BA93">
            <v>7.9829999999999998E-2</v>
          </cell>
          <cell r="BB93">
            <v>5.4449999999999998E-2</v>
          </cell>
          <cell r="BC93">
            <v>-1.8535908906624488</v>
          </cell>
          <cell r="BD93">
            <v>-1.8239570838273766</v>
          </cell>
          <cell r="BF93">
            <v>83</v>
          </cell>
          <cell r="BG93">
            <v>7.4009000000000005E-2</v>
          </cell>
          <cell r="BH93">
            <v>5.0166000000000002E-2</v>
          </cell>
          <cell r="BI93">
            <v>-1.8960999999999999</v>
          </cell>
          <cell r="BJ93">
            <v>-1.7947</v>
          </cell>
        </row>
        <row r="94">
          <cell r="AT94">
            <v>84</v>
          </cell>
          <cell r="AU94">
            <v>9.5118999999999995E-2</v>
          </cell>
          <cell r="AV94">
            <v>6.6983000000000001E-2</v>
          </cell>
          <cell r="AW94">
            <v>-1.7673000000000001</v>
          </cell>
          <cell r="AX94">
            <v>-1.7949999999999999</v>
          </cell>
          <cell r="AZ94">
            <v>84</v>
          </cell>
          <cell r="BA94">
            <v>8.8959999999999997E-2</v>
          </cell>
          <cell r="BB94">
            <v>6.216E-2</v>
          </cell>
          <cell r="BC94">
            <v>-1.73009666983448</v>
          </cell>
          <cell r="BD94">
            <v>-1.724748689222444</v>
          </cell>
          <cell r="BF94">
            <v>84</v>
          </cell>
          <cell r="BG94">
            <v>8.3207000000000003E-2</v>
          </cell>
          <cell r="BH94">
            <v>5.7728000000000002E-2</v>
          </cell>
          <cell r="BI94">
            <v>-1.7777000000000001</v>
          </cell>
          <cell r="BJ94">
            <v>-1.6626000000000001</v>
          </cell>
        </row>
        <row r="95">
          <cell r="AT95">
            <v>85</v>
          </cell>
          <cell r="AU95">
            <v>0.105563</v>
          </cell>
          <cell r="AV95">
            <v>7.5284000000000004E-2</v>
          </cell>
          <cell r="AW95">
            <v>-1.6642999999999999</v>
          </cell>
          <cell r="AX95">
            <v>-1.7190000000000001</v>
          </cell>
          <cell r="AZ95">
            <v>85</v>
          </cell>
          <cell r="BA95">
            <v>9.9070000000000005E-2</v>
          </cell>
          <cell r="BB95">
            <v>7.0879999999999999E-2</v>
          </cell>
          <cell r="BC95">
            <v>-1.6054671481516403</v>
          </cell>
          <cell r="BD95">
            <v>-1.6176527628242288</v>
          </cell>
          <cell r="BF95">
            <v>85</v>
          </cell>
          <cell r="BG95">
            <v>9.3419000000000002E-2</v>
          </cell>
          <cell r="BH95">
            <v>6.6375000000000003E-2</v>
          </cell>
          <cell r="BI95">
            <v>-1.6586000000000001</v>
          </cell>
          <cell r="BJ95">
            <v>-1.5241</v>
          </cell>
        </row>
        <row r="96">
          <cell r="AT96">
            <v>86</v>
          </cell>
          <cell r="AU96">
            <v>0.116484</v>
          </cell>
          <cell r="AV96">
            <v>8.4204000000000001E-2</v>
          </cell>
          <cell r="AW96">
            <v>-1.5648</v>
          </cell>
          <cell r="AX96">
            <v>-1.6508</v>
          </cell>
          <cell r="AZ96">
            <v>86</v>
          </cell>
          <cell r="BA96">
            <v>0.11020000000000001</v>
          </cell>
          <cell r="BB96">
            <v>8.0649999999999999E-2</v>
          </cell>
          <cell r="BC96">
            <v>-1.4809323585607381</v>
          </cell>
          <cell r="BD96">
            <v>-1.5057241791328169</v>
          </cell>
          <cell r="BF96">
            <v>86</v>
          </cell>
          <cell r="BG96">
            <v>0.104698</v>
          </cell>
          <cell r="BH96">
            <v>7.6178999999999997E-2</v>
          </cell>
          <cell r="BI96">
            <v>-1.5324</v>
          </cell>
          <cell r="BJ96">
            <v>-1.3825000000000001</v>
          </cell>
        </row>
        <row r="97">
          <cell r="AT97">
            <v>87</v>
          </cell>
          <cell r="AU97">
            <v>0.12759699999999999</v>
          </cell>
          <cell r="AV97">
            <v>9.3720999999999999E-2</v>
          </cell>
          <cell r="AW97">
            <v>-1.5083</v>
          </cell>
          <cell r="AX97">
            <v>-1.5893999999999999</v>
          </cell>
          <cell r="AZ97">
            <v>87</v>
          </cell>
          <cell r="BA97">
            <v>0.12236</v>
          </cell>
          <cell r="BB97">
            <v>9.1539999999999996E-2</v>
          </cell>
          <cell r="BC97">
            <v>-1.3583750128508099</v>
          </cell>
          <cell r="BD97">
            <v>-1.3886831997603877</v>
          </cell>
          <cell r="BF97">
            <v>87</v>
          </cell>
          <cell r="BG97">
            <v>0.117086</v>
          </cell>
          <cell r="BH97">
            <v>8.7204000000000004E-2</v>
          </cell>
          <cell r="BI97">
            <v>-1.3948</v>
          </cell>
          <cell r="BJ97">
            <v>-1.2403999999999999</v>
          </cell>
        </row>
        <row r="98">
          <cell r="AT98">
            <v>88</v>
          </cell>
          <cell r="AU98">
            <v>0.138628</v>
          </cell>
          <cell r="AV98">
            <v>0.103812</v>
          </cell>
          <cell r="AW98">
            <v>-1.4633</v>
          </cell>
          <cell r="AX98">
            <v>-1.5336000000000001</v>
          </cell>
          <cell r="AZ98">
            <v>88</v>
          </cell>
          <cell r="BA98">
            <v>0.13533999999999999</v>
          </cell>
          <cell r="BB98">
            <v>0.10358000000000001</v>
          </cell>
          <cell r="BC98">
            <v>-1.2465343636264947</v>
          </cell>
          <cell r="BD98">
            <v>-1.2687160425681299</v>
          </cell>
          <cell r="BF98">
            <v>88</v>
          </cell>
          <cell r="BG98">
            <v>0.13061900000000001</v>
          </cell>
          <cell r="BH98">
            <v>9.9503999999999995E-2</v>
          </cell>
          <cell r="BI98">
            <v>-1.2427999999999999</v>
          </cell>
          <cell r="BJ98">
            <v>-1.1005</v>
          </cell>
        </row>
        <row r="99">
          <cell r="AT99">
            <v>89</v>
          </cell>
          <cell r="AU99">
            <v>0.14931700000000001</v>
          </cell>
          <cell r="AV99">
            <v>0.114453</v>
          </cell>
          <cell r="AW99">
            <v>-1.4271</v>
          </cell>
          <cell r="AX99">
            <v>-1.4825999999999999</v>
          </cell>
          <cell r="AZ99">
            <v>89</v>
          </cell>
          <cell r="BA99">
            <v>0.14892</v>
          </cell>
          <cell r="BB99">
            <v>0.11677999999999999</v>
          </cell>
          <cell r="BC99">
            <v>-1.1489092274543533</v>
          </cell>
          <cell r="BD99">
            <v>-1.14802470528933</v>
          </cell>
          <cell r="BF99">
            <v>89</v>
          </cell>
          <cell r="BG99">
            <v>0.14532300000000001</v>
          </cell>
          <cell r="BH99">
            <v>0.113125</v>
          </cell>
          <cell r="BI99">
            <v>-1.0757000000000001</v>
          </cell>
          <cell r="BJ99">
            <v>-0.96450000000000002</v>
          </cell>
        </row>
        <row r="100">
          <cell r="AT100">
            <v>90</v>
          </cell>
          <cell r="AU100">
            <v>0.15933700000000001</v>
          </cell>
          <cell r="AV100">
            <v>0.12578600000000001</v>
          </cell>
          <cell r="AW100">
            <v>-1.3967000000000001</v>
          </cell>
          <cell r="AX100">
            <v>-1.4351</v>
          </cell>
          <cell r="AZ100">
            <v>90</v>
          </cell>
          <cell r="BA100">
            <v>0.16286</v>
          </cell>
          <cell r="BB100">
            <v>0.13094</v>
          </cell>
          <cell r="BC100">
            <v>-1.0671191254922996</v>
          </cell>
          <cell r="BD100">
            <v>-1.0346101035494715</v>
          </cell>
          <cell r="BF100">
            <v>90</v>
          </cell>
          <cell r="BG100">
            <v>0.16121099999999999</v>
          </cell>
          <cell r="BH100">
            <v>0.12809799999999999</v>
          </cell>
          <cell r="BI100">
            <v>-0.89249999999999996</v>
          </cell>
          <cell r="BJ100">
            <v>-0.82989999999999997</v>
          </cell>
        </row>
        <row r="101">
          <cell r="AT101">
            <v>91</v>
          </cell>
          <cell r="AU101">
            <v>0.16827900000000001</v>
          </cell>
          <cell r="AV101">
            <v>0.13783500000000001</v>
          </cell>
          <cell r="AW101">
            <v>-1.3693</v>
          </cell>
          <cell r="AX101">
            <v>-1.3902000000000001</v>
          </cell>
          <cell r="AZ101">
            <v>91</v>
          </cell>
          <cell r="BA101">
            <v>0.17696000000000001</v>
          </cell>
          <cell r="BB101">
            <v>0.14585000000000001</v>
          </cell>
          <cell r="BC101">
            <v>-0.99969969971396289</v>
          </cell>
          <cell r="BD101">
            <v>-0.93243830925876514</v>
          </cell>
          <cell r="BF101">
            <v>91</v>
          </cell>
          <cell r="BG101">
            <v>0.178198</v>
          </cell>
          <cell r="BH101">
            <v>0.14444399999999999</v>
          </cell>
          <cell r="BI101">
            <v>-0.69879999999999998</v>
          </cell>
          <cell r="BJ101">
            <v>-0.69479999999999997</v>
          </cell>
        </row>
        <row r="102">
          <cell r="AT102">
            <v>92</v>
          </cell>
          <cell r="AU102">
            <v>0.17637900000000001</v>
          </cell>
          <cell r="AV102">
            <v>0.150115</v>
          </cell>
          <cell r="AW102">
            <v>-1.3421000000000001</v>
          </cell>
          <cell r="AX102">
            <v>-1.3468</v>
          </cell>
          <cell r="AZ102">
            <v>92</v>
          </cell>
          <cell r="BA102">
            <v>0.19102</v>
          </cell>
          <cell r="BB102">
            <v>0.1613</v>
          </cell>
          <cell r="BC102">
            <v>-0.94570317546757154</v>
          </cell>
          <cell r="BD102">
            <v>-0.84499832234509187</v>
          </cell>
          <cell r="BF102">
            <v>92</v>
          </cell>
          <cell r="BG102">
            <v>0.19583</v>
          </cell>
          <cell r="BH102">
            <v>0.16209100000000001</v>
          </cell>
          <cell r="BI102">
            <v>-0.50460000000000005</v>
          </cell>
          <cell r="BJ102">
            <v>-0.55889999999999995</v>
          </cell>
        </row>
        <row r="103">
          <cell r="AT103">
            <v>93</v>
          </cell>
          <cell r="AU103">
            <v>0.18443200000000001</v>
          </cell>
          <cell r="AV103">
            <v>0.162048</v>
          </cell>
          <cell r="AW103">
            <v>-1.3123</v>
          </cell>
          <cell r="AX103">
            <v>-1.3038000000000001</v>
          </cell>
          <cell r="AZ103">
            <v>93</v>
          </cell>
          <cell r="BA103">
            <v>0.20483999999999999</v>
          </cell>
          <cell r="BB103">
            <v>0.17710000000000001</v>
          </cell>
          <cell r="BC103">
            <v>-0.8917066512211802</v>
          </cell>
          <cell r="BD103">
            <v>-0.77250857842574572</v>
          </cell>
          <cell r="BF103">
            <v>93</v>
          </cell>
          <cell r="BG103">
            <v>0.21360499999999999</v>
          </cell>
          <cell r="BH103">
            <v>0.180649</v>
          </cell>
          <cell r="BI103">
            <v>-0.31030000000000002</v>
          </cell>
          <cell r="BJ103">
            <v>-0.42809999999999998</v>
          </cell>
        </row>
        <row r="104">
          <cell r="AT104">
            <v>94</v>
          </cell>
          <cell r="AU104">
            <v>0.19309299999999999</v>
          </cell>
          <cell r="AV104">
            <v>0.17336599999999999</v>
          </cell>
          <cell r="AW104">
            <v>-1.2768999999999999</v>
          </cell>
          <cell r="AX104">
            <v>-1.2603</v>
          </cell>
          <cell r="AZ104">
            <v>94</v>
          </cell>
          <cell r="BA104">
            <v>0.21823999999999999</v>
          </cell>
          <cell r="BB104">
            <v>0.19303999999999999</v>
          </cell>
          <cell r="BC104">
            <v>-0.83771012697478886</v>
          </cell>
          <cell r="BD104">
            <v>-0.71585294112777031</v>
          </cell>
          <cell r="BF104">
            <v>94</v>
          </cell>
          <cell r="BG104">
            <v>0.23105800000000001</v>
          </cell>
          <cell r="BH104">
            <v>0.19967599999999999</v>
          </cell>
          <cell r="BI104">
            <v>-0.11609999999999999</v>
          </cell>
          <cell r="BJ104">
            <v>-0.30640000000000001</v>
          </cell>
        </row>
        <row r="105">
          <cell r="AT105">
            <v>95</v>
          </cell>
          <cell r="AU105">
            <v>0.20205500000000001</v>
          </cell>
          <cell r="AV105">
            <v>0.184364</v>
          </cell>
          <cell r="AW105">
            <v>-1.2332000000000001</v>
          </cell>
          <cell r="AX105">
            <v>-1.2152000000000001</v>
          </cell>
          <cell r="AZ105">
            <v>95</v>
          </cell>
          <cell r="BA105">
            <v>0.23105999999999999</v>
          </cell>
          <cell r="BB105">
            <v>0.20895</v>
          </cell>
          <cell r="BC105">
            <v>-0.78371360272839752</v>
          </cell>
          <cell r="BD105">
            <v>-0.67465305551289712</v>
          </cell>
          <cell r="BF105">
            <v>95</v>
          </cell>
          <cell r="BG105">
            <v>0.24776500000000001</v>
          </cell>
          <cell r="BH105">
            <v>0.21876599999999999</v>
          </cell>
          <cell r="BI105">
            <v>0</v>
          </cell>
          <cell r="BJ105">
            <v>-0.19639999999999999</v>
          </cell>
        </row>
        <row r="106">
          <cell r="AT106">
            <v>96</v>
          </cell>
          <cell r="AU106">
            <v>0.21069399999999999</v>
          </cell>
          <cell r="AV106">
            <v>0.19540399999999999</v>
          </cell>
          <cell r="AW106">
            <v>-1.1556</v>
          </cell>
          <cell r="AX106">
            <v>-1.1673</v>
          </cell>
          <cell r="AZ106">
            <v>96</v>
          </cell>
          <cell r="BA106">
            <v>0.24315000000000001</v>
          </cell>
          <cell r="BB106">
            <v>0.22467000000000001</v>
          </cell>
          <cell r="BC106">
            <v>-0.72971707848200618</v>
          </cell>
          <cell r="BD106">
            <v>-0.63345316989802392</v>
          </cell>
          <cell r="BF106">
            <v>96</v>
          </cell>
          <cell r="BG106">
            <v>0.26334099999999999</v>
          </cell>
          <cell r="BH106">
            <v>0.23754600000000001</v>
          </cell>
          <cell r="BI106">
            <v>0</v>
          </cell>
          <cell r="BJ106">
            <v>-8.6499999999999994E-2</v>
          </cell>
        </row>
        <row r="107">
          <cell r="AT107">
            <v>97</v>
          </cell>
          <cell r="AU107">
            <v>0.21929399999999999</v>
          </cell>
          <cell r="AV107">
            <v>0.20635500000000001</v>
          </cell>
          <cell r="AW107">
            <v>-1.0747</v>
          </cell>
          <cell r="AX107">
            <v>-1.1156999999999999</v>
          </cell>
          <cell r="AZ107">
            <v>97</v>
          </cell>
          <cell r="BA107">
            <v>0.25436999999999999</v>
          </cell>
          <cell r="BB107">
            <v>0.24005000000000001</v>
          </cell>
          <cell r="BC107">
            <v>-0.67572055423561483</v>
          </cell>
          <cell r="BD107">
            <v>-0.59225328428315072</v>
          </cell>
          <cell r="BF107">
            <v>97</v>
          </cell>
          <cell r="BG107">
            <v>0.27743299999999999</v>
          </cell>
          <cell r="BH107">
            <v>0.25567699999999999</v>
          </cell>
          <cell r="BI107">
            <v>0</v>
          </cell>
          <cell r="BJ107">
            <v>0</v>
          </cell>
        </row>
        <row r="108">
          <cell r="AT108">
            <v>98</v>
          </cell>
          <cell r="AU108">
            <v>0.22784499999999999</v>
          </cell>
          <cell r="AV108">
            <v>0.21721299999999999</v>
          </cell>
          <cell r="AW108">
            <v>-0.99380000000000002</v>
          </cell>
          <cell r="AX108">
            <v>-1.0749</v>
          </cell>
          <cell r="AZ108">
            <v>98</v>
          </cell>
          <cell r="BA108">
            <v>0.26457999999999998</v>
          </cell>
          <cell r="BB108">
            <v>0.25495000000000001</v>
          </cell>
          <cell r="BC108">
            <v>-0.62172402998922349</v>
          </cell>
          <cell r="BD108">
            <v>-0.55105339866827752</v>
          </cell>
          <cell r="BF108">
            <v>98</v>
          </cell>
          <cell r="BG108">
            <v>0.28971599999999997</v>
          </cell>
          <cell r="BH108">
            <v>0.27285300000000001</v>
          </cell>
          <cell r="BI108">
            <v>0</v>
          </cell>
          <cell r="BJ108">
            <v>0</v>
          </cell>
        </row>
        <row r="109">
          <cell r="AT109">
            <v>99</v>
          </cell>
          <cell r="AU109">
            <v>0.236343</v>
          </cell>
          <cell r="AV109">
            <v>0.22797400000000001</v>
          </cell>
          <cell r="AW109">
            <v>-0.91290000000000004</v>
          </cell>
          <cell r="AX109">
            <v>-0.99339999999999995</v>
          </cell>
          <cell r="AZ109">
            <v>99</v>
          </cell>
          <cell r="BA109">
            <v>0.27366000000000001</v>
          </cell>
          <cell r="BB109">
            <v>0.26924999999999999</v>
          </cell>
          <cell r="BC109">
            <v>-0.56772750574283215</v>
          </cell>
          <cell r="BD109">
            <v>-0.50985351305340432</v>
          </cell>
          <cell r="BF109">
            <v>99</v>
          </cell>
          <cell r="BG109">
            <v>0.29988500000000001</v>
          </cell>
          <cell r="BH109">
            <v>0.288798</v>
          </cell>
          <cell r="BI109">
            <v>0</v>
          </cell>
          <cell r="BJ109">
            <v>0</v>
          </cell>
        </row>
        <row r="110">
          <cell r="AT110">
            <v>100</v>
          </cell>
          <cell r="AU110">
            <v>0.244785</v>
          </cell>
          <cell r="AV110">
            <v>0.23863300000000001</v>
          </cell>
          <cell r="AW110">
            <v>-0.83189999999999997</v>
          </cell>
          <cell r="AX110">
            <v>-0.88660000000000005</v>
          </cell>
          <cell r="AZ110">
            <v>100</v>
          </cell>
          <cell r="BA110">
            <v>0.28205000000000002</v>
          </cell>
          <cell r="BB110">
            <v>0.28281000000000001</v>
          </cell>
          <cell r="BC110">
            <v>-0.51373098149644081</v>
          </cell>
          <cell r="BD110">
            <v>-0.46865362743853112</v>
          </cell>
          <cell r="BF110">
            <v>100</v>
          </cell>
          <cell r="BG110">
            <v>0.31254900000000002</v>
          </cell>
          <cell r="BH110">
            <v>0.303263</v>
          </cell>
          <cell r="BI110">
            <v>0</v>
          </cell>
          <cell r="BJ110">
            <v>0</v>
          </cell>
        </row>
        <row r="111">
          <cell r="AT111">
            <v>101</v>
          </cell>
          <cell r="AU111">
            <v>0.25316899999999998</v>
          </cell>
          <cell r="AV111">
            <v>0.24918399999999999</v>
          </cell>
          <cell r="AW111">
            <v>-0.751</v>
          </cell>
          <cell r="AX111">
            <v>-0.74850000000000005</v>
          </cell>
          <cell r="AZ111">
            <v>101</v>
          </cell>
          <cell r="BA111">
            <v>0.29175000000000001</v>
          </cell>
          <cell r="BB111">
            <v>0.29554999999999998</v>
          </cell>
          <cell r="BC111">
            <v>-0.45973445725004947</v>
          </cell>
          <cell r="BD111">
            <v>-0.42745374182365792</v>
          </cell>
          <cell r="BF111">
            <v>101</v>
          </cell>
          <cell r="BG111">
            <v>0.32461299999999998</v>
          </cell>
          <cell r="BH111">
            <v>0.318797</v>
          </cell>
          <cell r="BI111">
            <v>0</v>
          </cell>
          <cell r="BJ111">
            <v>0</v>
          </cell>
        </row>
        <row r="112">
          <cell r="AT112">
            <v>102</v>
          </cell>
          <cell r="AU112">
            <v>0.261492</v>
          </cell>
          <cell r="AV112">
            <v>0.25962299999999999</v>
          </cell>
          <cell r="AW112">
            <v>-0.67010000000000003</v>
          </cell>
          <cell r="AX112">
            <v>-0.62419999999999998</v>
          </cell>
          <cell r="AZ112">
            <v>102</v>
          </cell>
          <cell r="BA112">
            <v>0.30020000000000002</v>
          </cell>
          <cell r="BB112">
            <v>0.30735000000000001</v>
          </cell>
          <cell r="BC112">
            <v>-0.40573793300365812</v>
          </cell>
          <cell r="BD112">
            <v>-0.38625385620878472</v>
          </cell>
          <cell r="BF112">
            <v>102</v>
          </cell>
          <cell r="BG112">
            <v>0.33625100000000002</v>
          </cell>
          <cell r="BH112">
            <v>0.33381899999999998</v>
          </cell>
          <cell r="BI112">
            <v>0</v>
          </cell>
          <cell r="BJ112">
            <v>0</v>
          </cell>
        </row>
        <row r="113">
          <cell r="AT113">
            <v>103</v>
          </cell>
          <cell r="AU113">
            <v>0.26974900000000002</v>
          </cell>
          <cell r="AV113">
            <v>0.26994499999999999</v>
          </cell>
          <cell r="AW113">
            <v>-0.58919999999999995</v>
          </cell>
          <cell r="AX113">
            <v>-0.49990000000000001</v>
          </cell>
          <cell r="AZ113">
            <v>103</v>
          </cell>
          <cell r="BA113">
            <v>0.30768000000000001</v>
          </cell>
          <cell r="BB113">
            <v>0.31816</v>
          </cell>
          <cell r="BC113">
            <v>-0.35174140875726678</v>
          </cell>
          <cell r="BD113">
            <v>-0.34505397059391152</v>
          </cell>
          <cell r="BF113">
            <v>103</v>
          </cell>
          <cell r="BG113">
            <v>0.347854</v>
          </cell>
          <cell r="BH113">
            <v>0.34840599999999999</v>
          </cell>
          <cell r="BI113">
            <v>0</v>
          </cell>
          <cell r="BJ113">
            <v>0</v>
          </cell>
        </row>
        <row r="114">
          <cell r="AT114">
            <v>104</v>
          </cell>
          <cell r="AU114">
            <v>0.27794000000000002</v>
          </cell>
          <cell r="AV114">
            <v>0.280144</v>
          </cell>
          <cell r="AW114">
            <v>-0.50819999999999999</v>
          </cell>
          <cell r="AX114">
            <v>-0.37559999999999999</v>
          </cell>
          <cell r="AZ114">
            <v>104</v>
          </cell>
          <cell r="BA114">
            <v>0.31442999999999999</v>
          </cell>
          <cell r="BB114">
            <v>0.32800000000000001</v>
          </cell>
          <cell r="BC114">
            <v>-0.29774488451087544</v>
          </cell>
          <cell r="BD114">
            <v>-0.30385408497903832</v>
          </cell>
          <cell r="BF114">
            <v>104</v>
          </cell>
          <cell r="BG114">
            <v>0.36042099999999999</v>
          </cell>
          <cell r="BH114">
            <v>0.36254700000000001</v>
          </cell>
          <cell r="BI114">
            <v>0</v>
          </cell>
          <cell r="BJ114">
            <v>0</v>
          </cell>
        </row>
        <row r="115">
          <cell r="AT115">
            <v>105</v>
          </cell>
          <cell r="AU115">
            <v>0.28605999999999998</v>
          </cell>
          <cell r="AV115">
            <v>0.290217</v>
          </cell>
          <cell r="AW115">
            <v>-0.42730000000000001</v>
          </cell>
          <cell r="AX115">
            <v>-0.25130000000000002</v>
          </cell>
          <cell r="AZ115">
            <v>105</v>
          </cell>
          <cell r="BA115">
            <v>0.32068999999999998</v>
          </cell>
          <cell r="BB115">
            <v>0.33690999999999999</v>
          </cell>
          <cell r="BC115">
            <v>-0.2437483602644841</v>
          </cell>
          <cell r="BD115">
            <v>-0.26265419936416512</v>
          </cell>
          <cell r="BF115">
            <v>105</v>
          </cell>
          <cell r="BG115">
            <v>0.372475</v>
          </cell>
          <cell r="BH115">
            <v>0.37623600000000001</v>
          </cell>
          <cell r="BI115">
            <v>0</v>
          </cell>
          <cell r="BJ115">
            <v>0</v>
          </cell>
        </row>
        <row r="116">
          <cell r="AT116">
            <v>106</v>
          </cell>
          <cell r="AU116">
            <v>0.29410599999999998</v>
          </cell>
          <cell r="AV116">
            <v>0.30015900000000001</v>
          </cell>
          <cell r="AW116">
            <v>-0.34639999999999999</v>
          </cell>
          <cell r="AX116">
            <v>-0.12709999999999999</v>
          </cell>
          <cell r="AZ116">
            <v>106</v>
          </cell>
          <cell r="BA116">
            <v>0.3261</v>
          </cell>
          <cell r="BB116">
            <v>0.34493000000000001</v>
          </cell>
          <cell r="BC116">
            <v>-0.18975183601809276</v>
          </cell>
          <cell r="BD116">
            <v>-0.22145431374929192</v>
          </cell>
          <cell r="BF116">
            <v>106</v>
          </cell>
          <cell r="BG116">
            <v>0.38412299999999999</v>
          </cell>
          <cell r="BH116">
            <v>0.38947100000000001</v>
          </cell>
          <cell r="BI116">
            <v>0</v>
          </cell>
          <cell r="BJ116">
            <v>0</v>
          </cell>
        </row>
        <row r="117">
          <cell r="AT117">
            <v>107</v>
          </cell>
          <cell r="AU117">
            <v>0.30207699999999998</v>
          </cell>
          <cell r="AV117">
            <v>0.30996499999999999</v>
          </cell>
          <cell r="AW117">
            <v>-0.26550000000000001</v>
          </cell>
          <cell r="AX117">
            <v>-2.8E-3</v>
          </cell>
          <cell r="AZ117">
            <v>107</v>
          </cell>
          <cell r="BA117">
            <v>0.33110000000000001</v>
          </cell>
          <cell r="BB117">
            <v>0.35210000000000002</v>
          </cell>
          <cell r="BC117">
            <v>-0.13575531177170141</v>
          </cell>
          <cell r="BD117">
            <v>-0.18025442813441872</v>
          </cell>
          <cell r="BF117">
            <v>107</v>
          </cell>
          <cell r="BG117">
            <v>0.39536300000000002</v>
          </cell>
          <cell r="BH117">
            <v>0.40224799999999999</v>
          </cell>
          <cell r="BI117">
            <v>0</v>
          </cell>
          <cell r="BJ117">
            <v>0</v>
          </cell>
        </row>
        <row r="118">
          <cell r="AT118">
            <v>108</v>
          </cell>
          <cell r="AU118">
            <v>0.30996899999999999</v>
          </cell>
          <cell r="AV118">
            <v>0.319631</v>
          </cell>
          <cell r="AW118">
            <v>-0.1845</v>
          </cell>
          <cell r="AX118">
            <v>0</v>
          </cell>
          <cell r="AZ118">
            <v>108</v>
          </cell>
          <cell r="BA118">
            <v>0.33656999999999998</v>
          </cell>
          <cell r="BB118">
            <v>0.36016999999999999</v>
          </cell>
          <cell r="BC118">
            <v>-8.1758787525310073E-2</v>
          </cell>
          <cell r="BD118">
            <v>-0.13905454251954552</v>
          </cell>
          <cell r="BF118">
            <v>108</v>
          </cell>
          <cell r="BG118">
            <v>0.40620000000000001</v>
          </cell>
          <cell r="BH118">
            <v>0.41456700000000002</v>
          </cell>
          <cell r="BI118">
            <v>0</v>
          </cell>
          <cell r="BJ118">
            <v>0</v>
          </cell>
        </row>
        <row r="119">
          <cell r="AT119">
            <v>109</v>
          </cell>
          <cell r="AU119">
            <v>0.31777899999999998</v>
          </cell>
          <cell r="AV119">
            <v>0.329154</v>
          </cell>
          <cell r="AW119">
            <v>-0.1036</v>
          </cell>
          <cell r="AX119">
            <v>0</v>
          </cell>
          <cell r="AZ119">
            <v>109</v>
          </cell>
          <cell r="BA119">
            <v>0.34192</v>
          </cell>
          <cell r="BB119">
            <v>0.36799999999999999</v>
          </cell>
          <cell r="BC119">
            <v>-2.7762263278918731E-2</v>
          </cell>
          <cell r="BD119">
            <v>-9.7854656904672321E-2</v>
          </cell>
          <cell r="BF119">
            <v>109</v>
          </cell>
          <cell r="BG119">
            <v>0.41664099999999998</v>
          </cell>
          <cell r="BH119">
            <v>0.42642600000000003</v>
          </cell>
          <cell r="BI119">
            <v>0</v>
          </cell>
          <cell r="BJ119">
            <v>0</v>
          </cell>
        </row>
        <row r="120">
          <cell r="AT120">
            <v>110</v>
          </cell>
          <cell r="AU120">
            <v>0.31777899999999998</v>
          </cell>
          <cell r="AV120">
            <v>0.329154</v>
          </cell>
          <cell r="AW120">
            <v>-2.2700000000000001E-2</v>
          </cell>
          <cell r="AX120">
            <v>0</v>
          </cell>
          <cell r="AZ120">
            <v>110</v>
          </cell>
          <cell r="BA120">
            <v>0.34192</v>
          </cell>
          <cell r="BB120">
            <v>0.36799999999999999</v>
          </cell>
          <cell r="BC120">
            <v>0</v>
          </cell>
          <cell r="BD120">
            <v>-5.6654771289799122E-2</v>
          </cell>
          <cell r="BF120">
            <v>110</v>
          </cell>
          <cell r="BG120">
            <v>0.34192</v>
          </cell>
          <cell r="BH120">
            <v>0.36799999999999999</v>
          </cell>
          <cell r="BI120">
            <v>0</v>
          </cell>
          <cell r="BJ120">
            <v>0</v>
          </cell>
        </row>
        <row r="121">
          <cell r="AT121">
            <v>111</v>
          </cell>
          <cell r="AU121">
            <v>0.31777899999999998</v>
          </cell>
          <cell r="AV121">
            <v>0.329154</v>
          </cell>
          <cell r="AW121">
            <v>0</v>
          </cell>
          <cell r="AX121">
            <v>0</v>
          </cell>
        </row>
        <row r="122">
          <cell r="AT122">
            <v>112</v>
          </cell>
          <cell r="AU122">
            <v>0.31777899999999998</v>
          </cell>
          <cell r="AV122">
            <v>0.329154</v>
          </cell>
          <cell r="AW122">
            <v>0</v>
          </cell>
          <cell r="AX122">
            <v>0</v>
          </cell>
        </row>
        <row r="123">
          <cell r="AT123">
            <v>113</v>
          </cell>
          <cell r="AU123">
            <v>0.31777899999999998</v>
          </cell>
          <cell r="AV123">
            <v>0.329154</v>
          </cell>
          <cell r="AW123">
            <v>0</v>
          </cell>
          <cell r="AX123">
            <v>0</v>
          </cell>
        </row>
        <row r="124">
          <cell r="AT124">
            <v>114</v>
          </cell>
          <cell r="AU124">
            <v>0.31777899999999998</v>
          </cell>
          <cell r="AV124">
            <v>0.329154</v>
          </cell>
          <cell r="AW124">
            <v>0</v>
          </cell>
          <cell r="AX124">
            <v>0</v>
          </cell>
        </row>
        <row r="125">
          <cell r="AT125">
            <v>115</v>
          </cell>
          <cell r="AU125">
            <v>0.31777899999999998</v>
          </cell>
          <cell r="AV125">
            <v>0.329154</v>
          </cell>
          <cell r="AW125">
            <v>0</v>
          </cell>
          <cell r="AX125">
            <v>0</v>
          </cell>
        </row>
        <row r="126">
          <cell r="AT126">
            <v>116</v>
          </cell>
          <cell r="AU126">
            <v>0.31777899999999998</v>
          </cell>
          <cell r="AV126">
            <v>0.329154</v>
          </cell>
          <cell r="AW126">
            <v>0</v>
          </cell>
          <cell r="AX126">
            <v>0</v>
          </cell>
        </row>
        <row r="127">
          <cell r="AT127">
            <v>117</v>
          </cell>
          <cell r="AU127">
            <v>0.31777899999999998</v>
          </cell>
          <cell r="AV127">
            <v>0.329154</v>
          </cell>
          <cell r="AW127">
            <v>0</v>
          </cell>
          <cell r="AX127">
            <v>0</v>
          </cell>
        </row>
        <row r="128">
          <cell r="AT128">
            <v>118</v>
          </cell>
          <cell r="AU128">
            <v>0.31777899999999998</v>
          </cell>
          <cell r="AV128">
            <v>0.329154</v>
          </cell>
          <cell r="AW128">
            <v>0</v>
          </cell>
          <cell r="AX128">
            <v>0</v>
          </cell>
        </row>
        <row r="129">
          <cell r="AT129">
            <v>119</v>
          </cell>
          <cell r="AU129">
            <v>0.31777899999999998</v>
          </cell>
          <cell r="AV129">
            <v>0.329154</v>
          </cell>
          <cell r="AW129">
            <v>0</v>
          </cell>
          <cell r="AX129">
            <v>0</v>
          </cell>
        </row>
      </sheetData>
      <sheetData sheetId="5">
        <row r="6">
          <cell r="B6" t="str">
            <v>2015-16</v>
          </cell>
        </row>
        <row r="7">
          <cell r="B7">
            <v>42186</v>
          </cell>
        </row>
        <row r="8">
          <cell r="B8">
            <v>42551</v>
          </cell>
        </row>
        <row r="12">
          <cell r="B12" t="str">
            <v/>
          </cell>
          <cell r="C12" t="str">
            <v/>
          </cell>
          <cell r="D12" t="str">
            <v/>
          </cell>
          <cell r="E12" t="str">
            <v/>
          </cell>
        </row>
        <row r="13">
          <cell r="B13" t="str">
            <v/>
          </cell>
          <cell r="C13" t="str">
            <v/>
          </cell>
          <cell r="D13" t="str">
            <v/>
          </cell>
          <cell r="E13" t="str">
            <v/>
          </cell>
        </row>
        <row r="14">
          <cell r="B14" t="str">
            <v>No</v>
          </cell>
          <cell r="C14" t="str">
            <v>No</v>
          </cell>
          <cell r="D14" t="str">
            <v>No</v>
          </cell>
          <cell r="E14" t="str">
            <v>No</v>
          </cell>
        </row>
        <row r="15">
          <cell r="B15" t="str">
            <v/>
          </cell>
          <cell r="C15" t="str">
            <v/>
          </cell>
          <cell r="D15" t="str">
            <v/>
          </cell>
          <cell r="E15" t="str">
            <v/>
          </cell>
        </row>
        <row r="16">
          <cell r="B16" t="str">
            <v/>
          </cell>
          <cell r="C16" t="str">
            <v/>
          </cell>
          <cell r="D16" t="str">
            <v/>
          </cell>
          <cell r="E16" t="str">
            <v/>
          </cell>
        </row>
        <row r="17">
          <cell r="B17" t="str">
            <v>No</v>
          </cell>
          <cell r="C17" t="str">
            <v>No</v>
          </cell>
          <cell r="D17" t="str">
            <v>No</v>
          </cell>
          <cell r="E17" t="str">
            <v>No</v>
          </cell>
        </row>
        <row r="18">
          <cell r="B18" t="str">
            <v/>
          </cell>
          <cell r="C18" t="str">
            <v/>
          </cell>
          <cell r="D18" t="str">
            <v/>
          </cell>
          <cell r="E18" t="str">
            <v/>
          </cell>
        </row>
        <row r="20">
          <cell r="B20" t="str">
            <v/>
          </cell>
          <cell r="C20" t="str">
            <v/>
          </cell>
          <cell r="D20" t="str">
            <v/>
          </cell>
          <cell r="E20" t="str">
            <v/>
          </cell>
        </row>
        <row r="21">
          <cell r="B21" t="str">
            <v/>
          </cell>
          <cell r="C21" t="str">
            <v/>
          </cell>
          <cell r="D21" t="str">
            <v/>
          </cell>
          <cell r="E21" t="str">
            <v/>
          </cell>
        </row>
      </sheetData>
      <sheetData sheetId="6">
        <row r="87">
          <cell r="C87" t="str">
            <v/>
          </cell>
          <cell r="D87" t="str">
            <v/>
          </cell>
          <cell r="E87" t="str">
            <v/>
          </cell>
          <cell r="F87" t="str">
            <v/>
          </cell>
        </row>
      </sheetData>
      <sheetData sheetId="7">
        <row r="87">
          <cell r="C87" t="str">
            <v/>
          </cell>
          <cell r="D87" t="str">
            <v/>
          </cell>
          <cell r="E87" t="str">
            <v/>
          </cell>
          <cell r="F87" t="str">
            <v/>
          </cell>
        </row>
      </sheetData>
      <sheetData sheetId="8">
        <row r="87">
          <cell r="C87" t="str">
            <v/>
          </cell>
          <cell r="D87" t="str">
            <v/>
          </cell>
          <cell r="E87" t="str">
            <v/>
          </cell>
          <cell r="F87" t="str">
            <v/>
          </cell>
        </row>
      </sheetData>
      <sheetData sheetId="9">
        <row r="4">
          <cell r="F4" t="str">
            <v>Account Based Pension (ABP)</v>
          </cell>
        </row>
        <row r="5">
          <cell r="A5">
            <v>0</v>
          </cell>
          <cell r="B5">
            <v>65</v>
          </cell>
          <cell r="C5">
            <v>0.04</v>
          </cell>
          <cell r="F5" t="str">
            <v>Transition to Retirement Pension (TTR)</v>
          </cell>
        </row>
        <row r="6">
          <cell r="A6">
            <v>65</v>
          </cell>
          <cell r="B6">
            <v>75</v>
          </cell>
          <cell r="C6">
            <v>0.05</v>
          </cell>
          <cell r="F6" t="str">
            <v>Market Linked Pension (MLP/TAP)</v>
          </cell>
        </row>
        <row r="7">
          <cell r="A7">
            <v>75</v>
          </cell>
          <cell r="B7">
            <v>80</v>
          </cell>
          <cell r="C7">
            <v>0.06</v>
          </cell>
        </row>
        <row r="8">
          <cell r="A8">
            <v>80</v>
          </cell>
          <cell r="B8">
            <v>85</v>
          </cell>
          <cell r="C8">
            <v>7.0000000000000007E-2</v>
          </cell>
        </row>
        <row r="9">
          <cell r="A9">
            <v>85</v>
          </cell>
          <cell r="B9">
            <v>90</v>
          </cell>
          <cell r="C9">
            <v>0.09</v>
          </cell>
        </row>
        <row r="10">
          <cell r="A10">
            <v>90</v>
          </cell>
          <cell r="B10">
            <v>95</v>
          </cell>
          <cell r="C10">
            <v>0.11</v>
          </cell>
        </row>
        <row r="11">
          <cell r="A11">
            <v>95</v>
          </cell>
          <cell r="B11">
            <v>150</v>
          </cell>
          <cell r="C11">
            <v>0.14000000000000001</v>
          </cell>
        </row>
        <row r="16">
          <cell r="F16" t="str">
            <v>2014-15</v>
          </cell>
          <cell r="G16">
            <v>365</v>
          </cell>
        </row>
        <row r="17">
          <cell r="A17">
            <v>0</v>
          </cell>
          <cell r="B17">
            <v>1</v>
          </cell>
          <cell r="F17" t="str">
            <v>2015-16</v>
          </cell>
          <cell r="G17">
            <v>366</v>
          </cell>
        </row>
        <row r="18">
          <cell r="A18">
            <v>1</v>
          </cell>
          <cell r="B18">
            <v>1</v>
          </cell>
          <cell r="F18" t="str">
            <v>2016-17</v>
          </cell>
          <cell r="G18">
            <v>365</v>
          </cell>
        </row>
        <row r="19">
          <cell r="A19">
            <v>2</v>
          </cell>
          <cell r="B19">
            <v>1.9</v>
          </cell>
        </row>
        <row r="20">
          <cell r="A20">
            <v>3</v>
          </cell>
          <cell r="B20">
            <v>2.8</v>
          </cell>
        </row>
        <row r="21">
          <cell r="A21">
            <v>4</v>
          </cell>
          <cell r="B21">
            <v>3.67</v>
          </cell>
        </row>
        <row r="22">
          <cell r="A22">
            <v>5</v>
          </cell>
          <cell r="B22">
            <v>4.5199999999999996</v>
          </cell>
        </row>
        <row r="23">
          <cell r="A23">
            <v>6</v>
          </cell>
          <cell r="B23">
            <v>5.33</v>
          </cell>
        </row>
        <row r="24">
          <cell r="A24">
            <v>7</v>
          </cell>
          <cell r="B24">
            <v>6.11</v>
          </cell>
        </row>
        <row r="25">
          <cell r="A25">
            <v>8</v>
          </cell>
          <cell r="B25">
            <v>6.87</v>
          </cell>
        </row>
        <row r="26">
          <cell r="A26">
            <v>9</v>
          </cell>
          <cell r="B26">
            <v>7.61</v>
          </cell>
          <cell r="F26">
            <v>39345</v>
          </cell>
        </row>
        <row r="27">
          <cell r="A27">
            <v>10</v>
          </cell>
          <cell r="B27">
            <v>8.32</v>
          </cell>
        </row>
        <row r="28">
          <cell r="A28">
            <v>11</v>
          </cell>
          <cell r="B28">
            <v>9</v>
          </cell>
        </row>
        <row r="29">
          <cell r="A29">
            <v>12</v>
          </cell>
          <cell r="B29">
            <v>9.66</v>
          </cell>
        </row>
        <row r="30">
          <cell r="A30">
            <v>13</v>
          </cell>
          <cell r="B30">
            <v>10.3</v>
          </cell>
        </row>
        <row r="31">
          <cell r="A31">
            <v>14</v>
          </cell>
          <cell r="B31">
            <v>10.92</v>
          </cell>
        </row>
        <row r="32">
          <cell r="A32">
            <v>15</v>
          </cell>
          <cell r="B32">
            <v>11.52</v>
          </cell>
        </row>
        <row r="33">
          <cell r="A33">
            <v>16</v>
          </cell>
          <cell r="B33">
            <v>12.09</v>
          </cell>
        </row>
        <row r="34">
          <cell r="A34">
            <v>17</v>
          </cell>
          <cell r="B34">
            <v>12.65</v>
          </cell>
        </row>
        <row r="35">
          <cell r="A35">
            <v>18</v>
          </cell>
          <cell r="B35">
            <v>13.19</v>
          </cell>
        </row>
        <row r="36">
          <cell r="A36">
            <v>19</v>
          </cell>
          <cell r="B36">
            <v>13.71</v>
          </cell>
        </row>
        <row r="37">
          <cell r="A37">
            <v>20</v>
          </cell>
          <cell r="B37">
            <v>14.21</v>
          </cell>
        </row>
        <row r="38">
          <cell r="A38">
            <v>21</v>
          </cell>
          <cell r="B38">
            <v>14.7</v>
          </cell>
        </row>
        <row r="39">
          <cell r="A39">
            <v>22</v>
          </cell>
          <cell r="B39">
            <v>15.17</v>
          </cell>
        </row>
        <row r="40">
          <cell r="A40">
            <v>23</v>
          </cell>
          <cell r="B40">
            <v>15.62</v>
          </cell>
        </row>
        <row r="41">
          <cell r="A41">
            <v>24</v>
          </cell>
          <cell r="B41">
            <v>16.059999999999999</v>
          </cell>
        </row>
        <row r="42">
          <cell r="A42">
            <v>25</v>
          </cell>
          <cell r="B42">
            <v>16.48</v>
          </cell>
        </row>
        <row r="43">
          <cell r="A43">
            <v>26</v>
          </cell>
          <cell r="B43">
            <v>16.89</v>
          </cell>
        </row>
        <row r="44">
          <cell r="A44">
            <v>27</v>
          </cell>
          <cell r="B44">
            <v>17.29</v>
          </cell>
        </row>
        <row r="45">
          <cell r="A45">
            <v>28</v>
          </cell>
          <cell r="B45">
            <v>17.670000000000002</v>
          </cell>
        </row>
        <row r="46">
          <cell r="A46">
            <v>29</v>
          </cell>
          <cell r="B46">
            <v>18.04</v>
          </cell>
        </row>
        <row r="47">
          <cell r="A47">
            <v>30</v>
          </cell>
          <cell r="B47">
            <v>18.39</v>
          </cell>
        </row>
        <row r="48">
          <cell r="A48">
            <v>31</v>
          </cell>
          <cell r="B48">
            <v>18.739999999999998</v>
          </cell>
        </row>
        <row r="49">
          <cell r="A49">
            <v>32</v>
          </cell>
          <cell r="B49">
            <v>19.07</v>
          </cell>
        </row>
        <row r="50">
          <cell r="A50">
            <v>33</v>
          </cell>
          <cell r="B50">
            <v>19.39</v>
          </cell>
        </row>
        <row r="51">
          <cell r="A51">
            <v>34</v>
          </cell>
          <cell r="B51">
            <v>19.7</v>
          </cell>
        </row>
        <row r="52">
          <cell r="A52">
            <v>35</v>
          </cell>
          <cell r="B52">
            <v>20</v>
          </cell>
        </row>
        <row r="53">
          <cell r="A53">
            <v>36</v>
          </cell>
          <cell r="B53">
            <v>20.29</v>
          </cell>
        </row>
        <row r="54">
          <cell r="A54">
            <v>37</v>
          </cell>
          <cell r="B54">
            <v>20.57</v>
          </cell>
        </row>
        <row r="55">
          <cell r="A55">
            <v>38</v>
          </cell>
          <cell r="B55">
            <v>20.84</v>
          </cell>
        </row>
        <row r="56">
          <cell r="A56">
            <v>39</v>
          </cell>
          <cell r="B56">
            <v>21.1</v>
          </cell>
        </row>
        <row r="57">
          <cell r="A57">
            <v>40</v>
          </cell>
          <cell r="B57">
            <v>21.36</v>
          </cell>
        </row>
        <row r="58">
          <cell r="A58">
            <v>41</v>
          </cell>
          <cell r="B58">
            <v>21.6</v>
          </cell>
        </row>
        <row r="59">
          <cell r="A59">
            <v>42</v>
          </cell>
          <cell r="B59">
            <v>21.83</v>
          </cell>
        </row>
        <row r="60">
          <cell r="A60">
            <v>43</v>
          </cell>
          <cell r="B60">
            <v>22.06</v>
          </cell>
        </row>
        <row r="61">
          <cell r="A61">
            <v>44</v>
          </cell>
          <cell r="B61">
            <v>22.28</v>
          </cell>
        </row>
        <row r="62">
          <cell r="A62">
            <v>45</v>
          </cell>
          <cell r="B62">
            <v>22.5</v>
          </cell>
        </row>
        <row r="63">
          <cell r="A63">
            <v>46</v>
          </cell>
          <cell r="B63">
            <v>22.7</v>
          </cell>
        </row>
        <row r="64">
          <cell r="A64">
            <v>47</v>
          </cell>
          <cell r="B64">
            <v>22.9</v>
          </cell>
        </row>
        <row r="65">
          <cell r="A65">
            <v>48</v>
          </cell>
          <cell r="B65">
            <v>23.09</v>
          </cell>
        </row>
        <row r="66">
          <cell r="A66">
            <v>49</v>
          </cell>
          <cell r="B66">
            <v>23.28</v>
          </cell>
        </row>
        <row r="67">
          <cell r="A67">
            <v>50</v>
          </cell>
          <cell r="B67">
            <v>23.46</v>
          </cell>
        </row>
        <row r="68">
          <cell r="A68">
            <v>51</v>
          </cell>
          <cell r="B68">
            <v>23.63</v>
          </cell>
        </row>
        <row r="69">
          <cell r="A69">
            <v>52</v>
          </cell>
          <cell r="B69">
            <v>23.8</v>
          </cell>
        </row>
        <row r="70">
          <cell r="A70">
            <v>53</v>
          </cell>
          <cell r="B70">
            <v>23.96</v>
          </cell>
        </row>
        <row r="71">
          <cell r="A71">
            <v>54</v>
          </cell>
          <cell r="B71">
            <v>24.11</v>
          </cell>
        </row>
        <row r="72">
          <cell r="A72">
            <v>55</v>
          </cell>
          <cell r="B72">
            <v>24.26</v>
          </cell>
        </row>
        <row r="73">
          <cell r="A73">
            <v>56</v>
          </cell>
          <cell r="B73">
            <v>24.41</v>
          </cell>
        </row>
        <row r="74">
          <cell r="A74">
            <v>57</v>
          </cell>
          <cell r="B74">
            <v>24.55</v>
          </cell>
        </row>
        <row r="75">
          <cell r="A75">
            <v>58</v>
          </cell>
          <cell r="B75">
            <v>24.69</v>
          </cell>
        </row>
        <row r="76">
          <cell r="A76">
            <v>59</v>
          </cell>
          <cell r="B76">
            <v>24.82</v>
          </cell>
        </row>
        <row r="77">
          <cell r="A77">
            <v>60</v>
          </cell>
          <cell r="B77">
            <v>24.94</v>
          </cell>
        </row>
        <row r="78">
          <cell r="A78">
            <v>61</v>
          </cell>
          <cell r="B78">
            <v>25.07</v>
          </cell>
        </row>
        <row r="79">
          <cell r="A79">
            <v>62</v>
          </cell>
          <cell r="B79">
            <v>25.19</v>
          </cell>
        </row>
        <row r="80">
          <cell r="A80">
            <v>63</v>
          </cell>
          <cell r="B80">
            <v>25.3</v>
          </cell>
        </row>
        <row r="81">
          <cell r="A81">
            <v>64</v>
          </cell>
          <cell r="B81">
            <v>25.41</v>
          </cell>
        </row>
        <row r="82">
          <cell r="A82">
            <v>65</v>
          </cell>
          <cell r="B82">
            <v>25.52</v>
          </cell>
        </row>
        <row r="83">
          <cell r="A83">
            <v>66</v>
          </cell>
          <cell r="B83">
            <v>25.62</v>
          </cell>
        </row>
        <row r="84">
          <cell r="A84">
            <v>67</v>
          </cell>
          <cell r="B84">
            <v>25.72</v>
          </cell>
        </row>
        <row r="85">
          <cell r="A85">
            <v>68</v>
          </cell>
          <cell r="B85">
            <v>25.82</v>
          </cell>
        </row>
        <row r="86">
          <cell r="A86">
            <v>69</v>
          </cell>
          <cell r="B86">
            <v>25.91</v>
          </cell>
        </row>
        <row r="87">
          <cell r="A87">
            <v>70</v>
          </cell>
          <cell r="B87">
            <v>26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
  <sheetViews>
    <sheetView workbookViewId="0">
      <selection activeCell="A3" sqref="A3"/>
    </sheetView>
  </sheetViews>
  <sheetFormatPr defaultRowHeight="15"/>
  <sheetData>
    <row r="2" spans="1:1">
      <c r="A2" t="s">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J29"/>
  <sheetViews>
    <sheetView tabSelected="1" workbookViewId="0">
      <selection activeCell="J16" sqref="J16"/>
    </sheetView>
  </sheetViews>
  <sheetFormatPr defaultRowHeight="15"/>
  <cols>
    <col min="3" max="3" width="15" customWidth="1"/>
  </cols>
  <sheetData>
    <row r="2" spans="1:8">
      <c r="A2" t="s">
        <v>0</v>
      </c>
      <c r="D2" t="s">
        <v>29</v>
      </c>
    </row>
    <row r="5" spans="1:8" ht="15.75" thickBot="1">
      <c r="C5" s="91" t="s">
        <v>1</v>
      </c>
      <c r="D5" s="92"/>
      <c r="E5" s="9"/>
      <c r="F5" s="9"/>
      <c r="G5" s="9"/>
      <c r="H5" s="15"/>
    </row>
    <row r="6" spans="1:8">
      <c r="C6" s="8"/>
      <c r="D6" s="1"/>
      <c r="E6" s="1"/>
      <c r="F6" s="1"/>
      <c r="G6" s="1"/>
      <c r="H6" s="3"/>
    </row>
    <row r="7" spans="1:8">
      <c r="C7" s="4" t="s">
        <v>2</v>
      </c>
      <c r="D7" s="1"/>
      <c r="E7" s="88" t="s">
        <v>3</v>
      </c>
      <c r="F7" s="89"/>
      <c r="G7" s="89"/>
      <c r="H7" s="90"/>
    </row>
    <row r="8" spans="1:8">
      <c r="C8" s="4"/>
      <c r="D8" s="1"/>
      <c r="E8" s="2"/>
      <c r="F8" s="7"/>
      <c r="G8" s="7"/>
      <c r="H8" s="10"/>
    </row>
    <row r="9" spans="1:8">
      <c r="C9" s="4" t="s">
        <v>4</v>
      </c>
      <c r="D9" s="1"/>
      <c r="E9" s="16">
        <v>1</v>
      </c>
      <c r="F9" s="16" t="s">
        <v>5</v>
      </c>
      <c r="G9" s="87">
        <v>1956</v>
      </c>
      <c r="H9" s="87"/>
    </row>
    <row r="10" spans="1:8">
      <c r="C10" s="4"/>
      <c r="D10" s="1"/>
      <c r="E10" s="7"/>
      <c r="F10" s="7"/>
      <c r="G10" s="7"/>
      <c r="H10" s="10"/>
    </row>
    <row r="11" spans="1:8">
      <c r="C11" s="4" t="s">
        <v>6</v>
      </c>
      <c r="D11" s="1"/>
      <c r="E11" s="16" t="s">
        <v>7</v>
      </c>
      <c r="F11" s="7"/>
      <c r="G11" s="7"/>
      <c r="H11" s="10"/>
    </row>
    <row r="12" spans="1:8">
      <c r="C12" s="4"/>
      <c r="D12" s="1"/>
      <c r="E12" s="7"/>
      <c r="F12" s="7"/>
      <c r="G12" s="7"/>
      <c r="H12" s="10"/>
    </row>
    <row r="13" spans="1:8">
      <c r="C13" s="4" t="s">
        <v>22</v>
      </c>
      <c r="D13" s="1"/>
      <c r="E13" s="5"/>
      <c r="F13" s="16" t="s">
        <v>8</v>
      </c>
      <c r="G13" s="7"/>
      <c r="H13" s="10"/>
    </row>
    <row r="14" spans="1:8">
      <c r="C14" s="37"/>
      <c r="D14" s="35"/>
      <c r="E14" s="38"/>
      <c r="F14" s="40"/>
      <c r="G14" s="40"/>
      <c r="H14" s="43"/>
    </row>
    <row r="15" spans="1:8">
      <c r="C15" s="37" t="s">
        <v>25</v>
      </c>
      <c r="D15" s="35"/>
      <c r="E15" s="88" t="s">
        <v>26</v>
      </c>
      <c r="F15" s="89"/>
      <c r="G15" s="89"/>
      <c r="H15" s="90"/>
    </row>
    <row r="16" spans="1:8">
      <c r="C16" s="4"/>
      <c r="D16" s="1"/>
      <c r="E16" s="49"/>
      <c r="F16" s="7"/>
      <c r="G16" s="7"/>
      <c r="H16" s="10"/>
    </row>
    <row r="17" spans="3:10">
      <c r="C17" s="4" t="s">
        <v>23</v>
      </c>
      <c r="D17" s="1"/>
      <c r="E17" s="16">
        <v>1</v>
      </c>
      <c r="F17" s="16" t="s">
        <v>9</v>
      </c>
      <c r="G17" s="87">
        <v>1984</v>
      </c>
      <c r="H17" s="87"/>
    </row>
    <row r="18" spans="3:10">
      <c r="C18" s="4"/>
      <c r="D18" s="1"/>
      <c r="E18" s="7"/>
      <c r="F18" s="7"/>
      <c r="G18" s="7"/>
      <c r="H18" s="10"/>
    </row>
    <row r="19" spans="3:10">
      <c r="C19" s="4" t="s">
        <v>24</v>
      </c>
      <c r="D19" s="1"/>
      <c r="E19" s="16" t="s">
        <v>10</v>
      </c>
      <c r="F19" s="7"/>
      <c r="G19" s="7"/>
      <c r="H19" s="10"/>
    </row>
    <row r="20" spans="3:10">
      <c r="C20" s="11"/>
      <c r="D20" s="6"/>
      <c r="E20" s="14"/>
      <c r="F20" s="12"/>
      <c r="G20" s="12"/>
      <c r="H20" s="13"/>
    </row>
    <row r="24" spans="3:10" ht="15.75" thickBot="1">
      <c r="C24" s="91" t="s">
        <v>19</v>
      </c>
      <c r="D24" s="93"/>
      <c r="E24" s="92"/>
      <c r="F24" s="42"/>
      <c r="G24" s="42"/>
      <c r="H24" s="42"/>
      <c r="I24" s="42"/>
      <c r="J24" s="47"/>
    </row>
    <row r="25" spans="3:10">
      <c r="C25" s="41"/>
      <c r="D25" s="35"/>
      <c r="E25" s="35"/>
      <c r="F25" s="35"/>
      <c r="G25" s="35"/>
      <c r="H25" s="35"/>
      <c r="I25" s="35"/>
      <c r="J25" s="36"/>
    </row>
    <row r="26" spans="3:10">
      <c r="C26" s="37" t="s">
        <v>20</v>
      </c>
      <c r="D26" s="35"/>
      <c r="E26" s="35"/>
      <c r="F26" s="35"/>
      <c r="G26" s="48">
        <v>1</v>
      </c>
      <c r="H26" s="87" t="s">
        <v>11</v>
      </c>
      <c r="I26" s="87"/>
      <c r="J26" s="48">
        <v>2012</v>
      </c>
    </row>
    <row r="27" spans="3:10">
      <c r="C27" s="37"/>
      <c r="D27" s="35"/>
      <c r="E27" s="35"/>
      <c r="F27" s="35"/>
      <c r="G27" s="40"/>
      <c r="H27" s="40"/>
      <c r="I27" s="40"/>
      <c r="J27" s="43"/>
    </row>
    <row r="28" spans="3:10">
      <c r="C28" s="37" t="s">
        <v>21</v>
      </c>
      <c r="D28" s="35"/>
      <c r="E28" s="35"/>
      <c r="F28" s="35"/>
      <c r="G28" s="94">
        <v>35000</v>
      </c>
      <c r="H28" s="95"/>
      <c r="I28" s="95"/>
      <c r="J28" s="96"/>
    </row>
    <row r="29" spans="3:10">
      <c r="C29" s="44"/>
      <c r="D29" s="39"/>
      <c r="E29" s="39"/>
      <c r="F29" s="39"/>
      <c r="G29" s="45"/>
      <c r="H29" s="45"/>
      <c r="I29" s="45"/>
      <c r="J29" s="46"/>
    </row>
  </sheetData>
  <mergeCells count="8">
    <mergeCell ref="G9:H9"/>
    <mergeCell ref="E7:H7"/>
    <mergeCell ref="C5:D5"/>
    <mergeCell ref="C24:E24"/>
    <mergeCell ref="G28:J28"/>
    <mergeCell ref="E15:H15"/>
    <mergeCell ref="H26:I26"/>
    <mergeCell ref="G17:H17"/>
  </mergeCell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5:J11"/>
  <sheetViews>
    <sheetView workbookViewId="0">
      <selection activeCell="D15" sqref="D15"/>
    </sheetView>
  </sheetViews>
  <sheetFormatPr defaultRowHeight="15"/>
  <cols>
    <col min="5" max="5" width="11.140625" customWidth="1"/>
  </cols>
  <sheetData>
    <row r="5" spans="3:10" ht="15.75" thickBot="1">
      <c r="C5" s="97" t="s">
        <v>12</v>
      </c>
      <c r="D5" s="98"/>
      <c r="E5" s="99"/>
      <c r="F5" s="33"/>
      <c r="G5" s="32"/>
      <c r="H5" s="32"/>
      <c r="I5" s="32"/>
      <c r="J5" s="34"/>
    </row>
    <row r="6" spans="3:10">
      <c r="C6" s="26"/>
      <c r="D6" s="17"/>
      <c r="E6" s="17"/>
      <c r="F6" s="17"/>
      <c r="G6" s="17"/>
      <c r="H6" s="17"/>
      <c r="I6" s="17"/>
      <c r="J6" s="19"/>
    </row>
    <row r="7" spans="3:10">
      <c r="C7" s="20"/>
      <c r="D7" s="21" t="s">
        <v>13</v>
      </c>
      <c r="E7" s="21" t="s">
        <v>27</v>
      </c>
      <c r="G7" s="100" t="s">
        <v>14</v>
      </c>
      <c r="H7" s="101"/>
      <c r="I7" s="17" t="s">
        <v>15</v>
      </c>
      <c r="J7" s="19"/>
    </row>
    <row r="8" spans="3:10">
      <c r="C8" s="20"/>
      <c r="D8" s="21"/>
      <c r="E8" s="21"/>
      <c r="F8" s="18"/>
      <c r="G8" s="17"/>
      <c r="H8" s="17"/>
      <c r="I8" s="17"/>
      <c r="J8" s="19"/>
    </row>
    <row r="9" spans="3:10">
      <c r="C9" s="27" t="s">
        <v>16</v>
      </c>
      <c r="D9" s="23">
        <v>31</v>
      </c>
      <c r="E9" s="23">
        <v>54</v>
      </c>
      <c r="F9" s="22"/>
      <c r="G9" s="17"/>
      <c r="H9" s="17"/>
      <c r="I9" s="35"/>
      <c r="J9" s="19"/>
    </row>
    <row r="10" spans="3:10">
      <c r="C10" s="27"/>
      <c r="D10" s="23"/>
      <c r="E10" s="23"/>
      <c r="F10" s="17"/>
      <c r="G10" s="17"/>
      <c r="H10" s="25"/>
      <c r="I10" s="17"/>
      <c r="J10" s="19"/>
    </row>
    <row r="11" spans="3:10">
      <c r="C11" s="28" t="s">
        <v>17</v>
      </c>
      <c r="D11" s="29">
        <v>44</v>
      </c>
      <c r="E11" s="29">
        <v>73</v>
      </c>
      <c r="F11" s="30" t="s">
        <v>18</v>
      </c>
      <c r="G11" s="24"/>
      <c r="H11" s="24"/>
      <c r="I11" s="24"/>
      <c r="J11" s="31"/>
    </row>
  </sheetData>
  <mergeCells count="2">
    <mergeCell ref="C5:E5"/>
    <mergeCell ref="G7:H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
  <sheetViews>
    <sheetView workbookViewId="0">
      <selection activeCell="A3" sqref="A3"/>
    </sheetView>
  </sheetViews>
  <sheetFormatPr defaultRowHeight="15"/>
  <sheetData>
    <row r="2" spans="1:1">
      <c r="A2" t="s">
        <v>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2:M44"/>
  <sheetViews>
    <sheetView workbookViewId="0">
      <selection activeCell="B41" sqref="B41"/>
    </sheetView>
  </sheetViews>
  <sheetFormatPr defaultRowHeight="12.75"/>
  <cols>
    <col min="1" max="1" width="21.140625" style="51" customWidth="1"/>
    <col min="2" max="5" width="10.140625" style="51" bestFit="1" customWidth="1"/>
    <col min="6" max="7" width="9.140625" style="51"/>
    <col min="8" max="11" width="10.140625" style="51" bestFit="1" customWidth="1"/>
    <col min="12" max="13" width="9.140625" style="51"/>
    <col min="14" max="14" width="12" style="51" bestFit="1" customWidth="1"/>
    <col min="15" max="256" width="9.140625" style="51"/>
    <col min="257" max="257" width="21.140625" style="51" customWidth="1"/>
    <col min="258" max="261" width="10.140625" style="51" bestFit="1" customWidth="1"/>
    <col min="262" max="263" width="9.140625" style="51"/>
    <col min="264" max="267" width="10.140625" style="51" bestFit="1" customWidth="1"/>
    <col min="268" max="269" width="9.140625" style="51"/>
    <col min="270" max="270" width="12" style="51" bestFit="1" customWidth="1"/>
    <col min="271" max="512" width="9.140625" style="51"/>
    <col min="513" max="513" width="21.140625" style="51" customWidth="1"/>
    <col min="514" max="517" width="10.140625" style="51" bestFit="1" customWidth="1"/>
    <col min="518" max="519" width="9.140625" style="51"/>
    <col min="520" max="523" width="10.140625" style="51" bestFit="1" customWidth="1"/>
    <col min="524" max="525" width="9.140625" style="51"/>
    <col min="526" max="526" width="12" style="51" bestFit="1" customWidth="1"/>
    <col min="527" max="768" width="9.140625" style="51"/>
    <col min="769" max="769" width="21.140625" style="51" customWidth="1"/>
    <col min="770" max="773" width="10.140625" style="51" bestFit="1" customWidth="1"/>
    <col min="774" max="775" width="9.140625" style="51"/>
    <col min="776" max="779" width="10.140625" style="51" bestFit="1" customWidth="1"/>
    <col min="780" max="781" width="9.140625" style="51"/>
    <col min="782" max="782" width="12" style="51" bestFit="1" customWidth="1"/>
    <col min="783" max="1024" width="9.140625" style="51"/>
    <col min="1025" max="1025" width="21.140625" style="51" customWidth="1"/>
    <col min="1026" max="1029" width="10.140625" style="51" bestFit="1" customWidth="1"/>
    <col min="1030" max="1031" width="9.140625" style="51"/>
    <col min="1032" max="1035" width="10.140625" style="51" bestFit="1" customWidth="1"/>
    <col min="1036" max="1037" width="9.140625" style="51"/>
    <col min="1038" max="1038" width="12" style="51" bestFit="1" customWidth="1"/>
    <col min="1039" max="1280" width="9.140625" style="51"/>
    <col min="1281" max="1281" width="21.140625" style="51" customWidth="1"/>
    <col min="1282" max="1285" width="10.140625" style="51" bestFit="1" customWidth="1"/>
    <col min="1286" max="1287" width="9.140625" style="51"/>
    <col min="1288" max="1291" width="10.140625" style="51" bestFit="1" customWidth="1"/>
    <col min="1292" max="1293" width="9.140625" style="51"/>
    <col min="1294" max="1294" width="12" style="51" bestFit="1" customWidth="1"/>
    <col min="1295" max="1536" width="9.140625" style="51"/>
    <col min="1537" max="1537" width="21.140625" style="51" customWidth="1"/>
    <col min="1538" max="1541" width="10.140625" style="51" bestFit="1" customWidth="1"/>
    <col min="1542" max="1543" width="9.140625" style="51"/>
    <col min="1544" max="1547" width="10.140625" style="51" bestFit="1" customWidth="1"/>
    <col min="1548" max="1549" width="9.140625" style="51"/>
    <col min="1550" max="1550" width="12" style="51" bestFit="1" customWidth="1"/>
    <col min="1551" max="1792" width="9.140625" style="51"/>
    <col min="1793" max="1793" width="21.140625" style="51" customWidth="1"/>
    <col min="1794" max="1797" width="10.140625" style="51" bestFit="1" customWidth="1"/>
    <col min="1798" max="1799" width="9.140625" style="51"/>
    <col min="1800" max="1803" width="10.140625" style="51" bestFit="1" customWidth="1"/>
    <col min="1804" max="1805" width="9.140625" style="51"/>
    <col min="1806" max="1806" width="12" style="51" bestFit="1" customWidth="1"/>
    <col min="1807" max="2048" width="9.140625" style="51"/>
    <col min="2049" max="2049" width="21.140625" style="51" customWidth="1"/>
    <col min="2050" max="2053" width="10.140625" style="51" bestFit="1" customWidth="1"/>
    <col min="2054" max="2055" width="9.140625" style="51"/>
    <col min="2056" max="2059" width="10.140625" style="51" bestFit="1" customWidth="1"/>
    <col min="2060" max="2061" width="9.140625" style="51"/>
    <col min="2062" max="2062" width="12" style="51" bestFit="1" customWidth="1"/>
    <col min="2063" max="2304" width="9.140625" style="51"/>
    <col min="2305" max="2305" width="21.140625" style="51" customWidth="1"/>
    <col min="2306" max="2309" width="10.140625" style="51" bestFit="1" customWidth="1"/>
    <col min="2310" max="2311" width="9.140625" style="51"/>
    <col min="2312" max="2315" width="10.140625" style="51" bestFit="1" customWidth="1"/>
    <col min="2316" max="2317" width="9.140625" style="51"/>
    <col min="2318" max="2318" width="12" style="51" bestFit="1" customWidth="1"/>
    <col min="2319" max="2560" width="9.140625" style="51"/>
    <col min="2561" max="2561" width="21.140625" style="51" customWidth="1"/>
    <col min="2562" max="2565" width="10.140625" style="51" bestFit="1" customWidth="1"/>
    <col min="2566" max="2567" width="9.140625" style="51"/>
    <col min="2568" max="2571" width="10.140625" style="51" bestFit="1" customWidth="1"/>
    <col min="2572" max="2573" width="9.140625" style="51"/>
    <col min="2574" max="2574" width="12" style="51" bestFit="1" customWidth="1"/>
    <col min="2575" max="2816" width="9.140625" style="51"/>
    <col min="2817" max="2817" width="21.140625" style="51" customWidth="1"/>
    <col min="2818" max="2821" width="10.140625" style="51" bestFit="1" customWidth="1"/>
    <col min="2822" max="2823" width="9.140625" style="51"/>
    <col min="2824" max="2827" width="10.140625" style="51" bestFit="1" customWidth="1"/>
    <col min="2828" max="2829" width="9.140625" style="51"/>
    <col min="2830" max="2830" width="12" style="51" bestFit="1" customWidth="1"/>
    <col min="2831" max="3072" width="9.140625" style="51"/>
    <col min="3073" max="3073" width="21.140625" style="51" customWidth="1"/>
    <col min="3074" max="3077" width="10.140625" style="51" bestFit="1" customWidth="1"/>
    <col min="3078" max="3079" width="9.140625" style="51"/>
    <col min="3080" max="3083" width="10.140625" style="51" bestFit="1" customWidth="1"/>
    <col min="3084" max="3085" width="9.140625" style="51"/>
    <col min="3086" max="3086" width="12" style="51" bestFit="1" customWidth="1"/>
    <col min="3087" max="3328" width="9.140625" style="51"/>
    <col min="3329" max="3329" width="21.140625" style="51" customWidth="1"/>
    <col min="3330" max="3333" width="10.140625" style="51" bestFit="1" customWidth="1"/>
    <col min="3334" max="3335" width="9.140625" style="51"/>
    <col min="3336" max="3339" width="10.140625" style="51" bestFit="1" customWidth="1"/>
    <col min="3340" max="3341" width="9.140625" style="51"/>
    <col min="3342" max="3342" width="12" style="51" bestFit="1" customWidth="1"/>
    <col min="3343" max="3584" width="9.140625" style="51"/>
    <col min="3585" max="3585" width="21.140625" style="51" customWidth="1"/>
    <col min="3586" max="3589" width="10.140625" style="51" bestFit="1" customWidth="1"/>
    <col min="3590" max="3591" width="9.140625" style="51"/>
    <col min="3592" max="3595" width="10.140625" style="51" bestFit="1" customWidth="1"/>
    <col min="3596" max="3597" width="9.140625" style="51"/>
    <col min="3598" max="3598" width="12" style="51" bestFit="1" customWidth="1"/>
    <col min="3599" max="3840" width="9.140625" style="51"/>
    <col min="3841" max="3841" width="21.140625" style="51" customWidth="1"/>
    <col min="3842" max="3845" width="10.140625" style="51" bestFit="1" customWidth="1"/>
    <col min="3846" max="3847" width="9.140625" style="51"/>
    <col min="3848" max="3851" width="10.140625" style="51" bestFit="1" customWidth="1"/>
    <col min="3852" max="3853" width="9.140625" style="51"/>
    <col min="3854" max="3854" width="12" style="51" bestFit="1" customWidth="1"/>
    <col min="3855" max="4096" width="9.140625" style="51"/>
    <col min="4097" max="4097" width="21.140625" style="51" customWidth="1"/>
    <col min="4098" max="4101" width="10.140625" style="51" bestFit="1" customWidth="1"/>
    <col min="4102" max="4103" width="9.140625" style="51"/>
    <col min="4104" max="4107" width="10.140625" style="51" bestFit="1" customWidth="1"/>
    <col min="4108" max="4109" width="9.140625" style="51"/>
    <col min="4110" max="4110" width="12" style="51" bestFit="1" customWidth="1"/>
    <col min="4111" max="4352" width="9.140625" style="51"/>
    <col min="4353" max="4353" width="21.140625" style="51" customWidth="1"/>
    <col min="4354" max="4357" width="10.140625" style="51" bestFit="1" customWidth="1"/>
    <col min="4358" max="4359" width="9.140625" style="51"/>
    <col min="4360" max="4363" width="10.140625" style="51" bestFit="1" customWidth="1"/>
    <col min="4364" max="4365" width="9.140625" style="51"/>
    <col min="4366" max="4366" width="12" style="51" bestFit="1" customWidth="1"/>
    <col min="4367" max="4608" width="9.140625" style="51"/>
    <col min="4609" max="4609" width="21.140625" style="51" customWidth="1"/>
    <col min="4610" max="4613" width="10.140625" style="51" bestFit="1" customWidth="1"/>
    <col min="4614" max="4615" width="9.140625" style="51"/>
    <col min="4616" max="4619" width="10.140625" style="51" bestFit="1" customWidth="1"/>
    <col min="4620" max="4621" width="9.140625" style="51"/>
    <col min="4622" max="4622" width="12" style="51" bestFit="1" customWidth="1"/>
    <col min="4623" max="4864" width="9.140625" style="51"/>
    <col min="4865" max="4865" width="21.140625" style="51" customWidth="1"/>
    <col min="4866" max="4869" width="10.140625" style="51" bestFit="1" customWidth="1"/>
    <col min="4870" max="4871" width="9.140625" style="51"/>
    <col min="4872" max="4875" width="10.140625" style="51" bestFit="1" customWidth="1"/>
    <col min="4876" max="4877" width="9.140625" style="51"/>
    <col min="4878" max="4878" width="12" style="51" bestFit="1" customWidth="1"/>
    <col min="4879" max="5120" width="9.140625" style="51"/>
    <col min="5121" max="5121" width="21.140625" style="51" customWidth="1"/>
    <col min="5122" max="5125" width="10.140625" style="51" bestFit="1" customWidth="1"/>
    <col min="5126" max="5127" width="9.140625" style="51"/>
    <col min="5128" max="5131" width="10.140625" style="51" bestFit="1" customWidth="1"/>
    <col min="5132" max="5133" width="9.140625" style="51"/>
    <col min="5134" max="5134" width="12" style="51" bestFit="1" customWidth="1"/>
    <col min="5135" max="5376" width="9.140625" style="51"/>
    <col min="5377" max="5377" width="21.140625" style="51" customWidth="1"/>
    <col min="5378" max="5381" width="10.140625" style="51" bestFit="1" customWidth="1"/>
    <col min="5382" max="5383" width="9.140625" style="51"/>
    <col min="5384" max="5387" width="10.140625" style="51" bestFit="1" customWidth="1"/>
    <col min="5388" max="5389" width="9.140625" style="51"/>
    <col min="5390" max="5390" width="12" style="51" bestFit="1" customWidth="1"/>
    <col min="5391" max="5632" width="9.140625" style="51"/>
    <col min="5633" max="5633" width="21.140625" style="51" customWidth="1"/>
    <col min="5634" max="5637" width="10.140625" style="51" bestFit="1" customWidth="1"/>
    <col min="5638" max="5639" width="9.140625" style="51"/>
    <col min="5640" max="5643" width="10.140625" style="51" bestFit="1" customWidth="1"/>
    <col min="5644" max="5645" width="9.140625" style="51"/>
    <col min="5646" max="5646" width="12" style="51" bestFit="1" customWidth="1"/>
    <col min="5647" max="5888" width="9.140625" style="51"/>
    <col min="5889" max="5889" width="21.140625" style="51" customWidth="1"/>
    <col min="5890" max="5893" width="10.140625" style="51" bestFit="1" customWidth="1"/>
    <col min="5894" max="5895" width="9.140625" style="51"/>
    <col min="5896" max="5899" width="10.140625" style="51" bestFit="1" customWidth="1"/>
    <col min="5900" max="5901" width="9.140625" style="51"/>
    <col min="5902" max="5902" width="12" style="51" bestFit="1" customWidth="1"/>
    <col min="5903" max="6144" width="9.140625" style="51"/>
    <col min="6145" max="6145" width="21.140625" style="51" customWidth="1"/>
    <col min="6146" max="6149" width="10.140625" style="51" bestFit="1" customWidth="1"/>
    <col min="6150" max="6151" width="9.140625" style="51"/>
    <col min="6152" max="6155" width="10.140625" style="51" bestFit="1" customWidth="1"/>
    <col min="6156" max="6157" width="9.140625" style="51"/>
    <col min="6158" max="6158" width="12" style="51" bestFit="1" customWidth="1"/>
    <col min="6159" max="6400" width="9.140625" style="51"/>
    <col min="6401" max="6401" width="21.140625" style="51" customWidth="1"/>
    <col min="6402" max="6405" width="10.140625" style="51" bestFit="1" customWidth="1"/>
    <col min="6406" max="6407" width="9.140625" style="51"/>
    <col min="6408" max="6411" width="10.140625" style="51" bestFit="1" customWidth="1"/>
    <col min="6412" max="6413" width="9.140625" style="51"/>
    <col min="6414" max="6414" width="12" style="51" bestFit="1" customWidth="1"/>
    <col min="6415" max="6656" width="9.140625" style="51"/>
    <col min="6657" max="6657" width="21.140625" style="51" customWidth="1"/>
    <col min="6658" max="6661" width="10.140625" style="51" bestFit="1" customWidth="1"/>
    <col min="6662" max="6663" width="9.140625" style="51"/>
    <col min="6664" max="6667" width="10.140625" style="51" bestFit="1" customWidth="1"/>
    <col min="6668" max="6669" width="9.140625" style="51"/>
    <col min="6670" max="6670" width="12" style="51" bestFit="1" customWidth="1"/>
    <col min="6671" max="6912" width="9.140625" style="51"/>
    <col min="6913" max="6913" width="21.140625" style="51" customWidth="1"/>
    <col min="6914" max="6917" width="10.140625" style="51" bestFit="1" customWidth="1"/>
    <col min="6918" max="6919" width="9.140625" style="51"/>
    <col min="6920" max="6923" width="10.140625" style="51" bestFit="1" customWidth="1"/>
    <col min="6924" max="6925" width="9.140625" style="51"/>
    <col min="6926" max="6926" width="12" style="51" bestFit="1" customWidth="1"/>
    <col min="6927" max="7168" width="9.140625" style="51"/>
    <col min="7169" max="7169" width="21.140625" style="51" customWidth="1"/>
    <col min="7170" max="7173" width="10.140625" style="51" bestFit="1" customWidth="1"/>
    <col min="7174" max="7175" width="9.140625" style="51"/>
    <col min="7176" max="7179" width="10.140625" style="51" bestFit="1" customWidth="1"/>
    <col min="7180" max="7181" width="9.140625" style="51"/>
    <col min="7182" max="7182" width="12" style="51" bestFit="1" customWidth="1"/>
    <col min="7183" max="7424" width="9.140625" style="51"/>
    <col min="7425" max="7425" width="21.140625" style="51" customWidth="1"/>
    <col min="7426" max="7429" width="10.140625" style="51" bestFit="1" customWidth="1"/>
    <col min="7430" max="7431" width="9.140625" style="51"/>
    <col min="7432" max="7435" width="10.140625" style="51" bestFit="1" customWidth="1"/>
    <col min="7436" max="7437" width="9.140625" style="51"/>
    <col min="7438" max="7438" width="12" style="51" bestFit="1" customWidth="1"/>
    <col min="7439" max="7680" width="9.140625" style="51"/>
    <col min="7681" max="7681" width="21.140625" style="51" customWidth="1"/>
    <col min="7682" max="7685" width="10.140625" style="51" bestFit="1" customWidth="1"/>
    <col min="7686" max="7687" width="9.140625" style="51"/>
    <col min="7688" max="7691" width="10.140625" style="51" bestFit="1" customWidth="1"/>
    <col min="7692" max="7693" width="9.140625" style="51"/>
    <col min="7694" max="7694" width="12" style="51" bestFit="1" customWidth="1"/>
    <col min="7695" max="7936" width="9.140625" style="51"/>
    <col min="7937" max="7937" width="21.140625" style="51" customWidth="1"/>
    <col min="7938" max="7941" width="10.140625" style="51" bestFit="1" customWidth="1"/>
    <col min="7942" max="7943" width="9.140625" style="51"/>
    <col min="7944" max="7947" width="10.140625" style="51" bestFit="1" customWidth="1"/>
    <col min="7948" max="7949" width="9.140625" style="51"/>
    <col min="7950" max="7950" width="12" style="51" bestFit="1" customWidth="1"/>
    <col min="7951" max="8192" width="9.140625" style="51"/>
    <col min="8193" max="8193" width="21.140625" style="51" customWidth="1"/>
    <col min="8194" max="8197" width="10.140625" style="51" bestFit="1" customWidth="1"/>
    <col min="8198" max="8199" width="9.140625" style="51"/>
    <col min="8200" max="8203" width="10.140625" style="51" bestFit="1" customWidth="1"/>
    <col min="8204" max="8205" width="9.140625" style="51"/>
    <col min="8206" max="8206" width="12" style="51" bestFit="1" customWidth="1"/>
    <col min="8207" max="8448" width="9.140625" style="51"/>
    <col min="8449" max="8449" width="21.140625" style="51" customWidth="1"/>
    <col min="8450" max="8453" width="10.140625" style="51" bestFit="1" customWidth="1"/>
    <col min="8454" max="8455" width="9.140625" style="51"/>
    <col min="8456" max="8459" width="10.140625" style="51" bestFit="1" customWidth="1"/>
    <col min="8460" max="8461" width="9.140625" style="51"/>
    <col min="8462" max="8462" width="12" style="51" bestFit="1" customWidth="1"/>
    <col min="8463" max="8704" width="9.140625" style="51"/>
    <col min="8705" max="8705" width="21.140625" style="51" customWidth="1"/>
    <col min="8706" max="8709" width="10.140625" style="51" bestFit="1" customWidth="1"/>
    <col min="8710" max="8711" width="9.140625" style="51"/>
    <col min="8712" max="8715" width="10.140625" style="51" bestFit="1" customWidth="1"/>
    <col min="8716" max="8717" width="9.140625" style="51"/>
    <col min="8718" max="8718" width="12" style="51" bestFit="1" customWidth="1"/>
    <col min="8719" max="8960" width="9.140625" style="51"/>
    <col min="8961" max="8961" width="21.140625" style="51" customWidth="1"/>
    <col min="8962" max="8965" width="10.140625" style="51" bestFit="1" customWidth="1"/>
    <col min="8966" max="8967" width="9.140625" style="51"/>
    <col min="8968" max="8971" width="10.140625" style="51" bestFit="1" customWidth="1"/>
    <col min="8972" max="8973" width="9.140625" style="51"/>
    <col min="8974" max="8974" width="12" style="51" bestFit="1" customWidth="1"/>
    <col min="8975" max="9216" width="9.140625" style="51"/>
    <col min="9217" max="9217" width="21.140625" style="51" customWidth="1"/>
    <col min="9218" max="9221" width="10.140625" style="51" bestFit="1" customWidth="1"/>
    <col min="9222" max="9223" width="9.140625" style="51"/>
    <col min="9224" max="9227" width="10.140625" style="51" bestFit="1" customWidth="1"/>
    <col min="9228" max="9229" width="9.140625" style="51"/>
    <col min="9230" max="9230" width="12" style="51" bestFit="1" customWidth="1"/>
    <col min="9231" max="9472" width="9.140625" style="51"/>
    <col min="9473" max="9473" width="21.140625" style="51" customWidth="1"/>
    <col min="9474" max="9477" width="10.140625" style="51" bestFit="1" customWidth="1"/>
    <col min="9478" max="9479" width="9.140625" style="51"/>
    <col min="9480" max="9483" width="10.140625" style="51" bestFit="1" customWidth="1"/>
    <col min="9484" max="9485" width="9.140625" style="51"/>
    <col min="9486" max="9486" width="12" style="51" bestFit="1" customWidth="1"/>
    <col min="9487" max="9728" width="9.140625" style="51"/>
    <col min="9729" max="9729" width="21.140625" style="51" customWidth="1"/>
    <col min="9730" max="9733" width="10.140625" style="51" bestFit="1" customWidth="1"/>
    <col min="9734" max="9735" width="9.140625" style="51"/>
    <col min="9736" max="9739" width="10.140625" style="51" bestFit="1" customWidth="1"/>
    <col min="9740" max="9741" width="9.140625" style="51"/>
    <col min="9742" max="9742" width="12" style="51" bestFit="1" customWidth="1"/>
    <col min="9743" max="9984" width="9.140625" style="51"/>
    <col min="9985" max="9985" width="21.140625" style="51" customWidth="1"/>
    <col min="9986" max="9989" width="10.140625" style="51" bestFit="1" customWidth="1"/>
    <col min="9990" max="9991" width="9.140625" style="51"/>
    <col min="9992" max="9995" width="10.140625" style="51" bestFit="1" customWidth="1"/>
    <col min="9996" max="9997" width="9.140625" style="51"/>
    <col min="9998" max="9998" width="12" style="51" bestFit="1" customWidth="1"/>
    <col min="9999" max="10240" width="9.140625" style="51"/>
    <col min="10241" max="10241" width="21.140625" style="51" customWidth="1"/>
    <col min="10242" max="10245" width="10.140625" style="51" bestFit="1" customWidth="1"/>
    <col min="10246" max="10247" width="9.140625" style="51"/>
    <col min="10248" max="10251" width="10.140625" style="51" bestFit="1" customWidth="1"/>
    <col min="10252" max="10253" width="9.140625" style="51"/>
    <col min="10254" max="10254" width="12" style="51" bestFit="1" customWidth="1"/>
    <col min="10255" max="10496" width="9.140625" style="51"/>
    <col min="10497" max="10497" width="21.140625" style="51" customWidth="1"/>
    <col min="10498" max="10501" width="10.140625" style="51" bestFit="1" customWidth="1"/>
    <col min="10502" max="10503" width="9.140625" style="51"/>
    <col min="10504" max="10507" width="10.140625" style="51" bestFit="1" customWidth="1"/>
    <col min="10508" max="10509" width="9.140625" style="51"/>
    <col min="10510" max="10510" width="12" style="51" bestFit="1" customWidth="1"/>
    <col min="10511" max="10752" width="9.140625" style="51"/>
    <col min="10753" max="10753" width="21.140625" style="51" customWidth="1"/>
    <col min="10754" max="10757" width="10.140625" style="51" bestFit="1" customWidth="1"/>
    <col min="10758" max="10759" width="9.140625" style="51"/>
    <col min="10760" max="10763" width="10.140625" style="51" bestFit="1" customWidth="1"/>
    <col min="10764" max="10765" width="9.140625" style="51"/>
    <col min="10766" max="10766" width="12" style="51" bestFit="1" customWidth="1"/>
    <col min="10767" max="11008" width="9.140625" style="51"/>
    <col min="11009" max="11009" width="21.140625" style="51" customWidth="1"/>
    <col min="11010" max="11013" width="10.140625" style="51" bestFit="1" customWidth="1"/>
    <col min="11014" max="11015" width="9.140625" style="51"/>
    <col min="11016" max="11019" width="10.140625" style="51" bestFit="1" customWidth="1"/>
    <col min="11020" max="11021" width="9.140625" style="51"/>
    <col min="11022" max="11022" width="12" style="51" bestFit="1" customWidth="1"/>
    <col min="11023" max="11264" width="9.140625" style="51"/>
    <col min="11265" max="11265" width="21.140625" style="51" customWidth="1"/>
    <col min="11266" max="11269" width="10.140625" style="51" bestFit="1" customWidth="1"/>
    <col min="11270" max="11271" width="9.140625" style="51"/>
    <col min="11272" max="11275" width="10.140625" style="51" bestFit="1" customWidth="1"/>
    <col min="11276" max="11277" width="9.140625" style="51"/>
    <col min="11278" max="11278" width="12" style="51" bestFit="1" customWidth="1"/>
    <col min="11279" max="11520" width="9.140625" style="51"/>
    <col min="11521" max="11521" width="21.140625" style="51" customWidth="1"/>
    <col min="11522" max="11525" width="10.140625" style="51" bestFit="1" customWidth="1"/>
    <col min="11526" max="11527" width="9.140625" style="51"/>
    <col min="11528" max="11531" width="10.140625" style="51" bestFit="1" customWidth="1"/>
    <col min="11532" max="11533" width="9.140625" style="51"/>
    <col min="11534" max="11534" width="12" style="51" bestFit="1" customWidth="1"/>
    <col min="11535" max="11776" width="9.140625" style="51"/>
    <col min="11777" max="11777" width="21.140625" style="51" customWidth="1"/>
    <col min="11778" max="11781" width="10.140625" style="51" bestFit="1" customWidth="1"/>
    <col min="11782" max="11783" width="9.140625" style="51"/>
    <col min="11784" max="11787" width="10.140625" style="51" bestFit="1" customWidth="1"/>
    <col min="11788" max="11789" width="9.140625" style="51"/>
    <col min="11790" max="11790" width="12" style="51" bestFit="1" customWidth="1"/>
    <col min="11791" max="12032" width="9.140625" style="51"/>
    <col min="12033" max="12033" width="21.140625" style="51" customWidth="1"/>
    <col min="12034" max="12037" width="10.140625" style="51" bestFit="1" customWidth="1"/>
    <col min="12038" max="12039" width="9.140625" style="51"/>
    <col min="12040" max="12043" width="10.140625" style="51" bestFit="1" customWidth="1"/>
    <col min="12044" max="12045" width="9.140625" style="51"/>
    <col min="12046" max="12046" width="12" style="51" bestFit="1" customWidth="1"/>
    <col min="12047" max="12288" width="9.140625" style="51"/>
    <col min="12289" max="12289" width="21.140625" style="51" customWidth="1"/>
    <col min="12290" max="12293" width="10.140625" style="51" bestFit="1" customWidth="1"/>
    <col min="12294" max="12295" width="9.140625" style="51"/>
    <col min="12296" max="12299" width="10.140625" style="51" bestFit="1" customWidth="1"/>
    <col min="12300" max="12301" width="9.140625" style="51"/>
    <col min="12302" max="12302" width="12" style="51" bestFit="1" customWidth="1"/>
    <col min="12303" max="12544" width="9.140625" style="51"/>
    <col min="12545" max="12545" width="21.140625" style="51" customWidth="1"/>
    <col min="12546" max="12549" width="10.140625" style="51" bestFit="1" customWidth="1"/>
    <col min="12550" max="12551" width="9.140625" style="51"/>
    <col min="12552" max="12555" width="10.140625" style="51" bestFit="1" customWidth="1"/>
    <col min="12556" max="12557" width="9.140625" style="51"/>
    <col min="12558" max="12558" width="12" style="51" bestFit="1" customWidth="1"/>
    <col min="12559" max="12800" width="9.140625" style="51"/>
    <col min="12801" max="12801" width="21.140625" style="51" customWidth="1"/>
    <col min="12802" max="12805" width="10.140625" style="51" bestFit="1" customWidth="1"/>
    <col min="12806" max="12807" width="9.140625" style="51"/>
    <col min="12808" max="12811" width="10.140625" style="51" bestFit="1" customWidth="1"/>
    <col min="12812" max="12813" width="9.140625" style="51"/>
    <col min="12814" max="12814" width="12" style="51" bestFit="1" customWidth="1"/>
    <col min="12815" max="13056" width="9.140625" style="51"/>
    <col min="13057" max="13057" width="21.140625" style="51" customWidth="1"/>
    <col min="13058" max="13061" width="10.140625" style="51" bestFit="1" customWidth="1"/>
    <col min="13062" max="13063" width="9.140625" style="51"/>
    <col min="13064" max="13067" width="10.140625" style="51" bestFit="1" customWidth="1"/>
    <col min="13068" max="13069" width="9.140625" style="51"/>
    <col min="13070" max="13070" width="12" style="51" bestFit="1" customWidth="1"/>
    <col min="13071" max="13312" width="9.140625" style="51"/>
    <col min="13313" max="13313" width="21.140625" style="51" customWidth="1"/>
    <col min="13314" max="13317" width="10.140625" style="51" bestFit="1" customWidth="1"/>
    <col min="13318" max="13319" width="9.140625" style="51"/>
    <col min="13320" max="13323" width="10.140625" style="51" bestFit="1" customWidth="1"/>
    <col min="13324" max="13325" width="9.140625" style="51"/>
    <col min="13326" max="13326" width="12" style="51" bestFit="1" customWidth="1"/>
    <col min="13327" max="13568" width="9.140625" style="51"/>
    <col min="13569" max="13569" width="21.140625" style="51" customWidth="1"/>
    <col min="13570" max="13573" width="10.140625" style="51" bestFit="1" customWidth="1"/>
    <col min="13574" max="13575" width="9.140625" style="51"/>
    <col min="13576" max="13579" width="10.140625" style="51" bestFit="1" customWidth="1"/>
    <col min="13580" max="13581" width="9.140625" style="51"/>
    <col min="13582" max="13582" width="12" style="51" bestFit="1" customWidth="1"/>
    <col min="13583" max="13824" width="9.140625" style="51"/>
    <col min="13825" max="13825" width="21.140625" style="51" customWidth="1"/>
    <col min="13826" max="13829" width="10.140625" style="51" bestFit="1" customWidth="1"/>
    <col min="13830" max="13831" width="9.140625" style="51"/>
    <col min="13832" max="13835" width="10.140625" style="51" bestFit="1" customWidth="1"/>
    <col min="13836" max="13837" width="9.140625" style="51"/>
    <col min="13838" max="13838" width="12" style="51" bestFit="1" customWidth="1"/>
    <col min="13839" max="14080" width="9.140625" style="51"/>
    <col min="14081" max="14081" width="21.140625" style="51" customWidth="1"/>
    <col min="14082" max="14085" width="10.140625" style="51" bestFit="1" customWidth="1"/>
    <col min="14086" max="14087" width="9.140625" style="51"/>
    <col min="14088" max="14091" width="10.140625" style="51" bestFit="1" customWidth="1"/>
    <col min="14092" max="14093" width="9.140625" style="51"/>
    <col min="14094" max="14094" width="12" style="51" bestFit="1" customWidth="1"/>
    <col min="14095" max="14336" width="9.140625" style="51"/>
    <col min="14337" max="14337" width="21.140625" style="51" customWidth="1"/>
    <col min="14338" max="14341" width="10.140625" style="51" bestFit="1" customWidth="1"/>
    <col min="14342" max="14343" width="9.140625" style="51"/>
    <col min="14344" max="14347" width="10.140625" style="51" bestFit="1" customWidth="1"/>
    <col min="14348" max="14349" width="9.140625" style="51"/>
    <col min="14350" max="14350" width="12" style="51" bestFit="1" customWidth="1"/>
    <col min="14351" max="14592" width="9.140625" style="51"/>
    <col min="14593" max="14593" width="21.140625" style="51" customWidth="1"/>
    <col min="14594" max="14597" width="10.140625" style="51" bestFit="1" customWidth="1"/>
    <col min="14598" max="14599" width="9.140625" style="51"/>
    <col min="14600" max="14603" width="10.140625" style="51" bestFit="1" customWidth="1"/>
    <col min="14604" max="14605" width="9.140625" style="51"/>
    <col min="14606" max="14606" width="12" style="51" bestFit="1" customWidth="1"/>
    <col min="14607" max="14848" width="9.140625" style="51"/>
    <col min="14849" max="14849" width="21.140625" style="51" customWidth="1"/>
    <col min="14850" max="14853" width="10.140625" style="51" bestFit="1" customWidth="1"/>
    <col min="14854" max="14855" width="9.140625" style="51"/>
    <col min="14856" max="14859" width="10.140625" style="51" bestFit="1" customWidth="1"/>
    <col min="14860" max="14861" width="9.140625" style="51"/>
    <col min="14862" max="14862" width="12" style="51" bestFit="1" customWidth="1"/>
    <col min="14863" max="15104" width="9.140625" style="51"/>
    <col min="15105" max="15105" width="21.140625" style="51" customWidth="1"/>
    <col min="15106" max="15109" width="10.140625" style="51" bestFit="1" customWidth="1"/>
    <col min="15110" max="15111" width="9.140625" style="51"/>
    <col min="15112" max="15115" width="10.140625" style="51" bestFit="1" customWidth="1"/>
    <col min="15116" max="15117" width="9.140625" style="51"/>
    <col min="15118" max="15118" width="12" style="51" bestFit="1" customWidth="1"/>
    <col min="15119" max="15360" width="9.140625" style="51"/>
    <col min="15361" max="15361" width="21.140625" style="51" customWidth="1"/>
    <col min="15362" max="15365" width="10.140625" style="51" bestFit="1" customWidth="1"/>
    <col min="15366" max="15367" width="9.140625" style="51"/>
    <col min="15368" max="15371" width="10.140625" style="51" bestFit="1" customWidth="1"/>
    <col min="15372" max="15373" width="9.140625" style="51"/>
    <col min="15374" max="15374" width="12" style="51" bestFit="1" customWidth="1"/>
    <col min="15375" max="15616" width="9.140625" style="51"/>
    <col min="15617" max="15617" width="21.140625" style="51" customWidth="1"/>
    <col min="15618" max="15621" width="10.140625" style="51" bestFit="1" customWidth="1"/>
    <col min="15622" max="15623" width="9.140625" style="51"/>
    <col min="15624" max="15627" width="10.140625" style="51" bestFit="1" customWidth="1"/>
    <col min="15628" max="15629" width="9.140625" style="51"/>
    <col min="15630" max="15630" width="12" style="51" bestFit="1" customWidth="1"/>
    <col min="15631" max="15872" width="9.140625" style="51"/>
    <col min="15873" max="15873" width="21.140625" style="51" customWidth="1"/>
    <col min="15874" max="15877" width="10.140625" style="51" bestFit="1" customWidth="1"/>
    <col min="15878" max="15879" width="9.140625" style="51"/>
    <col min="15880" max="15883" width="10.140625" style="51" bestFit="1" customWidth="1"/>
    <col min="15884" max="15885" width="9.140625" style="51"/>
    <col min="15886" max="15886" width="12" style="51" bestFit="1" customWidth="1"/>
    <col min="15887" max="16128" width="9.140625" style="51"/>
    <col min="16129" max="16129" width="21.140625" style="51" customWidth="1"/>
    <col min="16130" max="16133" width="10.140625" style="51" bestFit="1" customWidth="1"/>
    <col min="16134" max="16135" width="9.140625" style="51"/>
    <col min="16136" max="16139" width="10.140625" style="51" bestFit="1" customWidth="1"/>
    <col min="16140" max="16141" width="9.140625" style="51"/>
    <col min="16142" max="16142" width="12" style="51" bestFit="1" customWidth="1"/>
    <col min="16143" max="16384" width="9.140625" style="51"/>
  </cols>
  <sheetData>
    <row r="2" spans="1:13" ht="15">
      <c r="A2" s="62" t="s">
        <v>46</v>
      </c>
      <c r="G2" s="50"/>
    </row>
    <row r="4" spans="1:13">
      <c r="A4" s="50" t="s">
        <v>47</v>
      </c>
      <c r="G4" s="50"/>
      <c r="H4" s="50"/>
      <c r="I4" s="50"/>
      <c r="M4" s="50"/>
    </row>
    <row r="5" spans="1:13">
      <c r="A5" s="50"/>
      <c r="G5" s="50"/>
      <c r="H5" s="50"/>
      <c r="I5" s="50"/>
    </row>
    <row r="6" spans="1:13">
      <c r="A6" s="50" t="s">
        <v>48</v>
      </c>
      <c r="B6" s="63" t="str">
        <f>'[1]Input Form'!F22</f>
        <v>2015-16</v>
      </c>
      <c r="G6" s="50"/>
      <c r="H6" s="50"/>
      <c r="I6" s="50"/>
    </row>
    <row r="7" spans="1:13">
      <c r="A7" s="50" t="s">
        <v>49</v>
      </c>
      <c r="B7" s="61">
        <f>DATE(LEFT(B6,4),7,1)</f>
        <v>42186</v>
      </c>
      <c r="G7" s="50"/>
      <c r="H7" s="50"/>
      <c r="I7" s="50"/>
    </row>
    <row r="8" spans="1:13">
      <c r="A8" s="50" t="s">
        <v>50</v>
      </c>
      <c r="B8" s="61">
        <f>DATE(RIGHT(B6,2)+2000,6,30)</f>
        <v>42551</v>
      </c>
      <c r="G8" s="50"/>
      <c r="H8" s="50"/>
      <c r="I8" s="50"/>
    </row>
    <row r="9" spans="1:13">
      <c r="A9" s="50"/>
      <c r="G9" s="50"/>
      <c r="H9" s="50"/>
      <c r="I9" s="50"/>
    </row>
    <row r="10" spans="1:13">
      <c r="G10" s="50"/>
      <c r="H10" s="50"/>
      <c r="I10" s="50"/>
    </row>
    <row r="11" spans="1:13">
      <c r="B11" s="52" t="s">
        <v>51</v>
      </c>
      <c r="C11" s="52" t="s">
        <v>52</v>
      </c>
      <c r="D11" s="52" t="s">
        <v>53</v>
      </c>
      <c r="E11" s="52" t="s">
        <v>54</v>
      </c>
      <c r="G11" s="50"/>
      <c r="H11" s="50"/>
      <c r="I11" s="50"/>
    </row>
    <row r="12" spans="1:13">
      <c r="A12" s="53" t="s">
        <v>55</v>
      </c>
      <c r="B12" s="64" t="str">
        <f>IF('[1]Input Form'!F35&lt;&gt;"",'[1]Input Form'!F35,"")</f>
        <v/>
      </c>
      <c r="C12" s="64" t="str">
        <f>IF('[1]Input Form'!H35&lt;&gt;"",'[1]Input Form'!H35,"")</f>
        <v/>
      </c>
      <c r="D12" s="64" t="str">
        <f>IF('[1]Input Form'!J35&lt;&gt;"",'[1]Input Form'!J35,"")</f>
        <v/>
      </c>
      <c r="E12" s="65" t="str">
        <f>IF('[1]Input Form'!L35&lt;&gt;"",'[1]Input Form'!L35,"")</f>
        <v/>
      </c>
    </row>
    <row r="13" spans="1:13">
      <c r="A13" s="66" t="s">
        <v>56</v>
      </c>
      <c r="B13" s="51" t="str">
        <f>IF('[1]Input Form'!F42&gt;0,'[1]Input Form'!F47,"")</f>
        <v/>
      </c>
      <c r="C13" s="51" t="str">
        <f>IF('[1]Input Form'!H42&gt;0,'[1]Input Form'!H47,"")</f>
        <v/>
      </c>
      <c r="D13" s="51" t="str">
        <f>IF('[1]Input Form'!J42&gt;0,'[1]Input Form'!J47,"")</f>
        <v/>
      </c>
      <c r="E13" s="55" t="str">
        <f>IF('[1]Input Form'!L42&gt;0,'[1]Input Form'!L47,"")</f>
        <v/>
      </c>
    </row>
    <row r="14" spans="1:13">
      <c r="A14" s="66" t="s">
        <v>57</v>
      </c>
      <c r="B14" s="51" t="str">
        <f>IF('[1]Input Form'!F49="Yes","Yes","No")</f>
        <v>No</v>
      </c>
      <c r="C14" s="51" t="str">
        <f>IF('[1]Input Form'!H49="Yes","Yes","No")</f>
        <v>No</v>
      </c>
      <c r="D14" s="51" t="str">
        <f>IF('[1]Input Form'!J49="Yes","Yes","No")</f>
        <v>No</v>
      </c>
      <c r="E14" s="56" t="str">
        <f>IF('[1]Input Form'!L49="Yes","Yes","No")</f>
        <v>No</v>
      </c>
    </row>
    <row r="15" spans="1:13">
      <c r="A15" s="66" t="s">
        <v>58</v>
      </c>
      <c r="B15" s="61" t="str">
        <f>IF(B14="Yes",'[1]Input Form'!F51,"")</f>
        <v/>
      </c>
      <c r="C15" s="61" t="str">
        <f>IF(C14="Yes",'[1]Input Form'!H51,"")</f>
        <v/>
      </c>
      <c r="D15" s="61" t="str">
        <f>IF(D14="Yes",'[1]Input Form'!J51,"")</f>
        <v/>
      </c>
      <c r="E15" s="67" t="str">
        <f>IF(E14="Yes",'[1]Input Form'!L51,"")</f>
        <v/>
      </c>
    </row>
    <row r="16" spans="1:13">
      <c r="A16" s="66" t="s">
        <v>59</v>
      </c>
      <c r="B16" s="51" t="str">
        <f>IF('[1]Input Form'!F53&lt;&gt;"",'[1]Input Form'!F53,"")</f>
        <v/>
      </c>
      <c r="C16" s="51" t="str">
        <f>IF('[1]Input Form'!H53&lt;&gt;"",'[1]Input Form'!H53,"")</f>
        <v/>
      </c>
      <c r="D16" s="51" t="str">
        <f>IF('[1]Input Form'!J53&lt;&gt;"",'[1]Input Form'!J53,"")</f>
        <v/>
      </c>
      <c r="E16" s="56" t="str">
        <f>IF('[1]Input Form'!L53&lt;&gt;"",'[1]Input Form'!L53,"")</f>
        <v/>
      </c>
    </row>
    <row r="17" spans="1:11">
      <c r="A17" s="66" t="s">
        <v>60</v>
      </c>
      <c r="B17" s="51" t="str">
        <f>IF('[1]Input Form'!F55="Yes","Yes","No")</f>
        <v>No</v>
      </c>
      <c r="C17" s="51" t="str">
        <f>IF('[1]Input Form'!H55="Yes","Yes","No")</f>
        <v>No</v>
      </c>
      <c r="D17" s="51" t="str">
        <f>IF('[1]Input Form'!J55="Yes","Yes","No")</f>
        <v>No</v>
      </c>
      <c r="E17" s="56" t="str">
        <f>IF('[1]Input Form'!L55="Yes","Yes","No")</f>
        <v>No</v>
      </c>
    </row>
    <row r="18" spans="1:11">
      <c r="A18" s="66" t="s">
        <v>61</v>
      </c>
      <c r="B18" s="61" t="str">
        <f>IF(B17="Yes",'[1]Input Form'!F57,"")</f>
        <v/>
      </c>
      <c r="C18" s="61" t="str">
        <f>IF(C17="Yes",'[1]Input Form'!H57,"")</f>
        <v/>
      </c>
      <c r="D18" s="61" t="str">
        <f>IF(D17="Yes",'[1]Input Form'!J57,"")</f>
        <v/>
      </c>
      <c r="E18" s="67" t="str">
        <f>IF(E17="Yes",'[1]Input Form'!L57,"")</f>
        <v/>
      </c>
    </row>
    <row r="19" spans="1:11">
      <c r="A19" s="66" t="s">
        <v>62</v>
      </c>
      <c r="B19" s="51" t="str">
        <f>IF('[1]Input Form'!F47="Market Linked Pension (MLP/TAP)","Yes","No")</f>
        <v>No</v>
      </c>
      <c r="C19" s="51" t="str">
        <f>IF('[1]Input Form'!H47="Market Linked Pension (MLP/TAP)","Yes","No")</f>
        <v>No</v>
      </c>
      <c r="D19" s="51" t="str">
        <f>IF('[1]Input Form'!J47="Market Linked Pension (MLP/TAP)","Yes","No")</f>
        <v>No</v>
      </c>
      <c r="E19" s="56" t="str">
        <f>IF('[1]Input Form'!L47="Market Linked Pension (MLP/TAP)","Yes","No")</f>
        <v>No</v>
      </c>
    </row>
    <row r="20" spans="1:11">
      <c r="A20" s="66" t="s">
        <v>63</v>
      </c>
      <c r="B20" s="61" t="str">
        <f>IF(B19="Yes",'[1]Input Form'!F60,"")</f>
        <v/>
      </c>
      <c r="C20" s="61" t="str">
        <f>IF(C19="Yes",'[1]Input Form'!H60,"")</f>
        <v/>
      </c>
      <c r="D20" s="61" t="str">
        <f>IF(D19="Yes",'[1]Input Form'!J60,"")</f>
        <v/>
      </c>
      <c r="E20" s="67" t="str">
        <f>IF(E19="Yes",'[1]Input Form'!L60,"")</f>
        <v/>
      </c>
      <c r="I20" s="61"/>
      <c r="J20" s="61"/>
    </row>
    <row r="21" spans="1:11">
      <c r="A21" s="68" t="s">
        <v>64</v>
      </c>
      <c r="B21" s="69" t="str">
        <f>IF(B19="Yes",'[1]Input Form'!F63,"")</f>
        <v/>
      </c>
      <c r="C21" s="69" t="str">
        <f>IF(C19="Yes",'[1]Input Form'!H63,"")</f>
        <v/>
      </c>
      <c r="D21" s="69" t="str">
        <f>IF(D19="Yes",'[1]Input Form'!J63,"")</f>
        <v/>
      </c>
      <c r="E21" s="70" t="str">
        <f>IF(E19="Yes",'[1]Input Form'!L63,"")</f>
        <v/>
      </c>
      <c r="J21" s="61"/>
      <c r="K21" s="61"/>
    </row>
    <row r="22" spans="1:11">
      <c r="A22" s="66" t="s">
        <v>65</v>
      </c>
      <c r="B22" s="51" t="str">
        <f>IF('[1]Input Form'!F42&gt;1,'[1]Input Form'!F67,"")</f>
        <v/>
      </c>
      <c r="C22" s="51" t="str">
        <f>IF('[1]Input Form'!H42&gt;1,'[1]Input Form'!H67,"")</f>
        <v/>
      </c>
      <c r="D22" s="51" t="str">
        <f>IF('[1]Input Form'!J42&gt;1,'[1]Input Form'!J67,"")</f>
        <v/>
      </c>
      <c r="E22" s="56" t="str">
        <f>IF('[1]Input Form'!L42&gt;1,'[1]Input Form'!L67,"")</f>
        <v/>
      </c>
    </row>
    <row r="23" spans="1:11">
      <c r="A23" s="66" t="s">
        <v>66</v>
      </c>
      <c r="B23" s="51" t="str">
        <f>IF('[1]Input Form'!F69="Yes","Yes","No")</f>
        <v>No</v>
      </c>
      <c r="C23" s="51" t="str">
        <f>IF('[1]Input Form'!H69="Yes","Yes","No")</f>
        <v>No</v>
      </c>
      <c r="D23" s="51" t="str">
        <f>IF('[1]Input Form'!J69="Yes","Yes","No")</f>
        <v>No</v>
      </c>
      <c r="E23" s="56" t="str">
        <f>IF('[1]Input Form'!L69="Yes","Yes","No")</f>
        <v>No</v>
      </c>
      <c r="I23" s="61"/>
      <c r="J23" s="61"/>
    </row>
    <row r="24" spans="1:11">
      <c r="A24" s="66" t="s">
        <v>67</v>
      </c>
      <c r="B24" s="61" t="str">
        <f>IF(B23="Yes",'[1]Input Form'!F71,"")</f>
        <v/>
      </c>
      <c r="C24" s="61" t="str">
        <f>IF(C23="Yes",'[1]Input Form'!H71,"")</f>
        <v/>
      </c>
      <c r="D24" s="61" t="str">
        <f>IF(D23="Yes",'[1]Input Form'!J71,"")</f>
        <v/>
      </c>
      <c r="E24" s="67" t="str">
        <f>IF(E23="Yes",'[1]Input Form'!L71,"")</f>
        <v/>
      </c>
    </row>
    <row r="25" spans="1:11">
      <c r="A25" s="66" t="s">
        <v>68</v>
      </c>
      <c r="B25" s="51" t="str">
        <f>IF('[1]Input Form'!F73&lt;&gt;"",'[1]Input Form'!F73,"")</f>
        <v/>
      </c>
      <c r="C25" s="51" t="str">
        <f>IF('[1]Input Form'!H73&lt;&gt;"",'[1]Input Form'!H73,"")</f>
        <v/>
      </c>
      <c r="D25" s="51" t="str">
        <f>IF('[1]Input Form'!J73&lt;&gt;"",'[1]Input Form'!J73,"")</f>
        <v/>
      </c>
      <c r="E25" s="56" t="str">
        <f>IF('[1]Input Form'!L73&lt;&gt;"",'[1]Input Form'!L73,"")</f>
        <v/>
      </c>
    </row>
    <row r="26" spans="1:11">
      <c r="A26" s="66" t="s">
        <v>69</v>
      </c>
      <c r="B26" s="51" t="str">
        <f>IF('[1]Input Form'!F75="Yes","Yes","No")</f>
        <v>No</v>
      </c>
      <c r="C26" s="51" t="str">
        <f>IF('[1]Input Form'!H75="Yes","Yes","No")</f>
        <v>No</v>
      </c>
      <c r="D26" s="51" t="str">
        <f>IF('[1]Input Form'!J75="Yes","Yes","No")</f>
        <v>No</v>
      </c>
      <c r="E26" s="56" t="str">
        <f>IF('[1]Input Form'!L75="Yes","Yes","No")</f>
        <v>No</v>
      </c>
      <c r="I26" s="61"/>
      <c r="J26" s="61"/>
    </row>
    <row r="27" spans="1:11">
      <c r="A27" s="66" t="s">
        <v>70</v>
      </c>
      <c r="B27" s="61" t="str">
        <f>IF(B26="Yes",'[1]Input Form'!F77,"")</f>
        <v/>
      </c>
      <c r="C27" s="61" t="str">
        <f>IF(C26="Yes",'[1]Input Form'!H77,"")</f>
        <v/>
      </c>
      <c r="D27" s="61" t="str">
        <f>IF(D26="Yes",'[1]Input Form'!J77,"")</f>
        <v/>
      </c>
      <c r="E27" s="67" t="str">
        <f>IF(E26="Yes",'[1]Input Form'!L77,"")</f>
        <v/>
      </c>
    </row>
    <row r="28" spans="1:11">
      <c r="A28" s="66" t="s">
        <v>62</v>
      </c>
      <c r="B28" s="51" t="str">
        <f>IF('[1]Input Form'!F67="Market Linked Pension (MLP/TAP)","Yes","No")</f>
        <v>No</v>
      </c>
      <c r="C28" s="51" t="str">
        <f>IF('[1]Input Form'!H67="Market Linked Pension (MLP/TAP)","Yes","No")</f>
        <v>No</v>
      </c>
      <c r="D28" s="51" t="str">
        <f>IF('[1]Input Form'!J67="Market Linked Pension (MLP/TAP)","Yes","No")</f>
        <v>No</v>
      </c>
      <c r="E28" s="56" t="str">
        <f>IF('[1]Input Form'!L67="Market Linked Pension (MLP/TAP)","Yes","No")</f>
        <v>No</v>
      </c>
    </row>
    <row r="29" spans="1:11">
      <c r="A29" s="66" t="s">
        <v>63</v>
      </c>
      <c r="B29" s="61" t="str">
        <f>IF(B28="Yes",'[1]Input Form'!F80,"")</f>
        <v/>
      </c>
      <c r="C29" s="61" t="str">
        <f>IF(C28="Yes",'[1]Input Form'!H80,"")</f>
        <v/>
      </c>
      <c r="D29" s="61" t="str">
        <f>IF(D28="Yes",'[1]Input Form'!J80,"")</f>
        <v/>
      </c>
      <c r="E29" s="67" t="str">
        <f>IF(E28="Yes",'[1]Input Form'!L80,"")</f>
        <v/>
      </c>
    </row>
    <row r="30" spans="1:11">
      <c r="A30" s="68" t="s">
        <v>64</v>
      </c>
      <c r="B30" s="69" t="str">
        <f>IF(B28="Yes",'[1]Input Form'!F83,"")</f>
        <v/>
      </c>
      <c r="C30" s="69" t="str">
        <f>IF(C28="Yes",'[1]Input Form'!H83,"")</f>
        <v/>
      </c>
      <c r="D30" s="69" t="str">
        <f>IF(D28="Yes",'[1]Input Form'!J83,"")</f>
        <v/>
      </c>
      <c r="E30" s="70" t="str">
        <f>IF(E28="Yes",'[1]Input Form'!L83,"")</f>
        <v/>
      </c>
    </row>
    <row r="31" spans="1:11">
      <c r="A31" s="66" t="s">
        <v>71</v>
      </c>
      <c r="B31" s="51" t="str">
        <f>IF('[1]Input Form'!F42&gt;2,'[1]Input Form'!F87,"")</f>
        <v/>
      </c>
      <c r="C31" s="51" t="str">
        <f>IF('[1]Input Form'!H42&gt;2,'[1]Input Form'!H87,"")</f>
        <v/>
      </c>
      <c r="D31" s="51" t="str">
        <f>IF('[1]Input Form'!J42&gt;2,'[1]Input Form'!J87,"")</f>
        <v/>
      </c>
      <c r="E31" s="56" t="str">
        <f>IF('[1]Input Form'!L42&gt;2,'[1]Input Form'!L87,"")</f>
        <v/>
      </c>
    </row>
    <row r="32" spans="1:11">
      <c r="A32" s="66" t="s">
        <v>72</v>
      </c>
      <c r="B32" s="51" t="str">
        <f>IF('[1]Input Form'!F89="Yes","Yes","No")</f>
        <v>No</v>
      </c>
      <c r="C32" s="51" t="str">
        <f>IF('[1]Input Form'!H89="Yes","Yes","No")</f>
        <v>No</v>
      </c>
      <c r="D32" s="51" t="str">
        <f>IF('[1]Input Form'!J89="Yes","Yes","No")</f>
        <v>No</v>
      </c>
      <c r="E32" s="56" t="str">
        <f>IF('[1]Input Form'!L89="Yes","Yes","No")</f>
        <v>No</v>
      </c>
    </row>
    <row r="33" spans="1:5">
      <c r="A33" s="66" t="s">
        <v>73</v>
      </c>
      <c r="B33" s="61" t="str">
        <f>IF(B32="Yes",'[1]Input Form'!F91,"")</f>
        <v/>
      </c>
      <c r="C33" s="61" t="str">
        <f>IF(C32="Yes",'[1]Input Form'!H91,"")</f>
        <v/>
      </c>
      <c r="D33" s="61" t="str">
        <f>IF(D32="Yes",'[1]Input Form'!J91,"")</f>
        <v/>
      </c>
      <c r="E33" s="67" t="str">
        <f>IF(E32="Yes",'[1]Input Form'!L91,"")</f>
        <v/>
      </c>
    </row>
    <row r="34" spans="1:5">
      <c r="A34" s="66" t="s">
        <v>74</v>
      </c>
      <c r="B34" s="51" t="str">
        <f>IF('[1]Input Form'!F93&lt;&gt;"",'[1]Input Form'!F93,"")</f>
        <v/>
      </c>
      <c r="C34" s="51" t="str">
        <f>IF('[1]Input Form'!H93&lt;&gt;"",'[1]Input Form'!H93,"")</f>
        <v/>
      </c>
      <c r="D34" s="51" t="str">
        <f>IF('[1]Input Form'!J93&lt;&gt;"",'[1]Input Form'!J93,"")</f>
        <v/>
      </c>
      <c r="E34" s="56" t="str">
        <f>IF('[1]Input Form'!L93&lt;&gt;"",'[1]Input Form'!L93,"")</f>
        <v/>
      </c>
    </row>
    <row r="35" spans="1:5">
      <c r="A35" s="66" t="s">
        <v>75</v>
      </c>
      <c r="B35" s="51" t="str">
        <f>IF('[1]Input Form'!F95="Yes","Yes","No")</f>
        <v>No</v>
      </c>
      <c r="C35" s="51" t="str">
        <f>IF('[1]Input Form'!H95="Yes","Yes","No")</f>
        <v>No</v>
      </c>
      <c r="D35" s="51" t="str">
        <f>IF('[1]Input Form'!J95="Yes","Yes","No")</f>
        <v>No</v>
      </c>
      <c r="E35" s="56" t="str">
        <f>IF('[1]Input Form'!L95="Yes","Yes","No")</f>
        <v>No</v>
      </c>
    </row>
    <row r="36" spans="1:5">
      <c r="A36" s="66" t="s">
        <v>76</v>
      </c>
      <c r="B36" s="61" t="str">
        <f>IF(B35="Yes",'[1]Input Form'!F97,"")</f>
        <v/>
      </c>
      <c r="C36" s="61" t="str">
        <f>IF(C35="Yes",'[1]Input Form'!H97,"")</f>
        <v/>
      </c>
      <c r="D36" s="61" t="str">
        <f>IF(D35="Yes",'[1]Input Form'!J97,"")</f>
        <v/>
      </c>
      <c r="E36" s="67" t="str">
        <f>IF(E35="Yes",'[1]Input Form'!L97,"")</f>
        <v/>
      </c>
    </row>
    <row r="37" spans="1:5">
      <c r="A37" s="66" t="s">
        <v>62</v>
      </c>
      <c r="B37" s="51" t="str">
        <f>IF('[1]Input Form'!F87="Market Linked Pension (MLP/TAP)","Yes","No")</f>
        <v>No</v>
      </c>
      <c r="C37" s="51" t="str">
        <f>IF('[1]Input Form'!H87="Market Linked Pension (MLP/TAP)","Yes","No")</f>
        <v>No</v>
      </c>
      <c r="D37" s="51" t="str">
        <f>IF('[1]Input Form'!J87="Market Linked Pension (MLP/TAP)","Yes","No")</f>
        <v>No</v>
      </c>
      <c r="E37" s="56" t="str">
        <f>IF('[1]Input Form'!L87="Market Linked Pension (MLP/TAP)","Yes","No")</f>
        <v>No</v>
      </c>
    </row>
    <row r="38" spans="1:5">
      <c r="A38" s="66" t="s">
        <v>63</v>
      </c>
      <c r="B38" s="61" t="str">
        <f>IF(B37="Yes",'[1]Input Form'!F100,"")</f>
        <v/>
      </c>
      <c r="C38" s="61" t="str">
        <f>IF(C37="Yes",'[1]Input Form'!H100,"")</f>
        <v/>
      </c>
      <c r="D38" s="61" t="str">
        <f>IF(D37="Yes",'[1]Input Form'!J100,"")</f>
        <v/>
      </c>
      <c r="E38" s="67" t="str">
        <f>IF(E37="Yes",'[1]Input Form'!L100,"")</f>
        <v/>
      </c>
    </row>
    <row r="39" spans="1:5">
      <c r="A39" s="68" t="s">
        <v>64</v>
      </c>
      <c r="B39" s="69" t="str">
        <f>IF(B37="Yes",'[1]Input Form'!F103,"")</f>
        <v/>
      </c>
      <c r="C39" s="69" t="str">
        <f>IF(C37="Yes",'[1]Input Form'!H103,"")</f>
        <v/>
      </c>
      <c r="D39" s="69" t="str">
        <f>IF(D37="Yes",'[1]Input Form'!J103,"")</f>
        <v/>
      </c>
      <c r="E39" s="70" t="str">
        <f>IF(E37="Yes",'[1]Input Form'!L103,"")</f>
        <v/>
      </c>
    </row>
    <row r="41" spans="1:5">
      <c r="A41" s="50" t="s">
        <v>77</v>
      </c>
      <c r="B41" s="51" t="str">
        <f>'[1]Pension 1'!C87&amp;'[1]Pension 2'!C87&amp;'[1]Pension 3'!C87</f>
        <v/>
      </c>
      <c r="C41" s="51" t="str">
        <f>'[1]Pension 1'!D87&amp;'[1]Pension 2'!D87&amp;'[1]Pension 3'!D87</f>
        <v/>
      </c>
      <c r="D41" s="51" t="str">
        <f>'[1]Pension 1'!E87&amp;'[1]Pension 2'!E87&amp;'[1]Pension 3'!E87</f>
        <v/>
      </c>
      <c r="E41" s="51" t="str">
        <f>'[1]Pension 1'!F87&amp;'[1]Pension 2'!F87&amp;'[1]Pension 3'!F87</f>
        <v/>
      </c>
    </row>
    <row r="44" spans="1:5">
      <c r="A44" s="50" t="s">
        <v>78</v>
      </c>
      <c r="B44" s="51" t="b">
        <f>AND(B41="",C41="",D41="",E41="")</f>
        <v>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2:P87"/>
  <sheetViews>
    <sheetView topLeftCell="A55" workbookViewId="0">
      <selection activeCell="C62" sqref="C62"/>
    </sheetView>
  </sheetViews>
  <sheetFormatPr defaultRowHeight="12.75"/>
  <cols>
    <col min="1" max="1" width="9.28515625" style="51" customWidth="1"/>
    <col min="2" max="2" width="9.140625" style="51"/>
    <col min="3" max="3" width="10.140625" style="51" customWidth="1"/>
    <col min="4" max="4" width="10.140625" style="51" bestFit="1" customWidth="1"/>
    <col min="5" max="5" width="10.5703125" style="51" customWidth="1"/>
    <col min="6" max="6" width="10.140625" style="51" customWidth="1"/>
    <col min="7" max="15" width="9.140625" style="51"/>
    <col min="16" max="16" width="10.140625" style="51" bestFit="1" customWidth="1"/>
    <col min="17" max="256" width="9.140625" style="51"/>
    <col min="257" max="257" width="9.28515625" style="51" customWidth="1"/>
    <col min="258" max="258" width="9.140625" style="51"/>
    <col min="259" max="259" width="10.140625" style="51" customWidth="1"/>
    <col min="260" max="260" width="10.140625" style="51" bestFit="1" customWidth="1"/>
    <col min="261" max="261" width="10.5703125" style="51" customWidth="1"/>
    <col min="262" max="262" width="10.140625" style="51" customWidth="1"/>
    <col min="263" max="271" width="9.140625" style="51"/>
    <col min="272" max="272" width="10.140625" style="51" bestFit="1" customWidth="1"/>
    <col min="273" max="512" width="9.140625" style="51"/>
    <col min="513" max="513" width="9.28515625" style="51" customWidth="1"/>
    <col min="514" max="514" width="9.140625" style="51"/>
    <col min="515" max="515" width="10.140625" style="51" customWidth="1"/>
    <col min="516" max="516" width="10.140625" style="51" bestFit="1" customWidth="1"/>
    <col min="517" max="517" width="10.5703125" style="51" customWidth="1"/>
    <col min="518" max="518" width="10.140625" style="51" customWidth="1"/>
    <col min="519" max="527" width="9.140625" style="51"/>
    <col min="528" max="528" width="10.140625" style="51" bestFit="1" customWidth="1"/>
    <col min="529" max="768" width="9.140625" style="51"/>
    <col min="769" max="769" width="9.28515625" style="51" customWidth="1"/>
    <col min="770" max="770" width="9.140625" style="51"/>
    <col min="771" max="771" width="10.140625" style="51" customWidth="1"/>
    <col min="772" max="772" width="10.140625" style="51" bestFit="1" customWidth="1"/>
    <col min="773" max="773" width="10.5703125" style="51" customWidth="1"/>
    <col min="774" max="774" width="10.140625" style="51" customWidth="1"/>
    <col min="775" max="783" width="9.140625" style="51"/>
    <col min="784" max="784" width="10.140625" style="51" bestFit="1" customWidth="1"/>
    <col min="785" max="1024" width="9.140625" style="51"/>
    <col min="1025" max="1025" width="9.28515625" style="51" customWidth="1"/>
    <col min="1026" max="1026" width="9.140625" style="51"/>
    <col min="1027" max="1027" width="10.140625" style="51" customWidth="1"/>
    <col min="1028" max="1028" width="10.140625" style="51" bestFit="1" customWidth="1"/>
    <col min="1029" max="1029" width="10.5703125" style="51" customWidth="1"/>
    <col min="1030" max="1030" width="10.140625" style="51" customWidth="1"/>
    <col min="1031" max="1039" width="9.140625" style="51"/>
    <col min="1040" max="1040" width="10.140625" style="51" bestFit="1" customWidth="1"/>
    <col min="1041" max="1280" width="9.140625" style="51"/>
    <col min="1281" max="1281" width="9.28515625" style="51" customWidth="1"/>
    <col min="1282" max="1282" width="9.140625" style="51"/>
    <col min="1283" max="1283" width="10.140625" style="51" customWidth="1"/>
    <col min="1284" max="1284" width="10.140625" style="51" bestFit="1" customWidth="1"/>
    <col min="1285" max="1285" width="10.5703125" style="51" customWidth="1"/>
    <col min="1286" max="1286" width="10.140625" style="51" customWidth="1"/>
    <col min="1287" max="1295" width="9.140625" style="51"/>
    <col min="1296" max="1296" width="10.140625" style="51" bestFit="1" customWidth="1"/>
    <col min="1297" max="1536" width="9.140625" style="51"/>
    <col min="1537" max="1537" width="9.28515625" style="51" customWidth="1"/>
    <col min="1538" max="1538" width="9.140625" style="51"/>
    <col min="1539" max="1539" width="10.140625" style="51" customWidth="1"/>
    <col min="1540" max="1540" width="10.140625" style="51" bestFit="1" customWidth="1"/>
    <col min="1541" max="1541" width="10.5703125" style="51" customWidth="1"/>
    <col min="1542" max="1542" width="10.140625" style="51" customWidth="1"/>
    <col min="1543" max="1551" width="9.140625" style="51"/>
    <col min="1552" max="1552" width="10.140625" style="51" bestFit="1" customWidth="1"/>
    <col min="1553" max="1792" width="9.140625" style="51"/>
    <col min="1793" max="1793" width="9.28515625" style="51" customWidth="1"/>
    <col min="1794" max="1794" width="9.140625" style="51"/>
    <col min="1795" max="1795" width="10.140625" style="51" customWidth="1"/>
    <col min="1796" max="1796" width="10.140625" style="51" bestFit="1" customWidth="1"/>
    <col min="1797" max="1797" width="10.5703125" style="51" customWidth="1"/>
    <col min="1798" max="1798" width="10.140625" style="51" customWidth="1"/>
    <col min="1799" max="1807" width="9.140625" style="51"/>
    <col min="1808" max="1808" width="10.140625" style="51" bestFit="1" customWidth="1"/>
    <col min="1809" max="2048" width="9.140625" style="51"/>
    <col min="2049" max="2049" width="9.28515625" style="51" customWidth="1"/>
    <col min="2050" max="2050" width="9.140625" style="51"/>
    <col min="2051" max="2051" width="10.140625" style="51" customWidth="1"/>
    <col min="2052" max="2052" width="10.140625" style="51" bestFit="1" customWidth="1"/>
    <col min="2053" max="2053" width="10.5703125" style="51" customWidth="1"/>
    <col min="2054" max="2054" width="10.140625" style="51" customWidth="1"/>
    <col min="2055" max="2063" width="9.140625" style="51"/>
    <col min="2064" max="2064" width="10.140625" style="51" bestFit="1" customWidth="1"/>
    <col min="2065" max="2304" width="9.140625" style="51"/>
    <col min="2305" max="2305" width="9.28515625" style="51" customWidth="1"/>
    <col min="2306" max="2306" width="9.140625" style="51"/>
    <col min="2307" max="2307" width="10.140625" style="51" customWidth="1"/>
    <col min="2308" max="2308" width="10.140625" style="51" bestFit="1" customWidth="1"/>
    <col min="2309" max="2309" width="10.5703125" style="51" customWidth="1"/>
    <col min="2310" max="2310" width="10.140625" style="51" customWidth="1"/>
    <col min="2311" max="2319" width="9.140625" style="51"/>
    <col min="2320" max="2320" width="10.140625" style="51" bestFit="1" customWidth="1"/>
    <col min="2321" max="2560" width="9.140625" style="51"/>
    <col min="2561" max="2561" width="9.28515625" style="51" customWidth="1"/>
    <col min="2562" max="2562" width="9.140625" style="51"/>
    <col min="2563" max="2563" width="10.140625" style="51" customWidth="1"/>
    <col min="2564" max="2564" width="10.140625" style="51" bestFit="1" customWidth="1"/>
    <col min="2565" max="2565" width="10.5703125" style="51" customWidth="1"/>
    <col min="2566" max="2566" width="10.140625" style="51" customWidth="1"/>
    <col min="2567" max="2575" width="9.140625" style="51"/>
    <col min="2576" max="2576" width="10.140625" style="51" bestFit="1" customWidth="1"/>
    <col min="2577" max="2816" width="9.140625" style="51"/>
    <col min="2817" max="2817" width="9.28515625" style="51" customWidth="1"/>
    <col min="2818" max="2818" width="9.140625" style="51"/>
    <col min="2819" max="2819" width="10.140625" style="51" customWidth="1"/>
    <col min="2820" max="2820" width="10.140625" style="51" bestFit="1" customWidth="1"/>
    <col min="2821" max="2821" width="10.5703125" style="51" customWidth="1"/>
    <col min="2822" max="2822" width="10.140625" style="51" customWidth="1"/>
    <col min="2823" max="2831" width="9.140625" style="51"/>
    <col min="2832" max="2832" width="10.140625" style="51" bestFit="1" customWidth="1"/>
    <col min="2833" max="3072" width="9.140625" style="51"/>
    <col min="3073" max="3073" width="9.28515625" style="51" customWidth="1"/>
    <col min="3074" max="3074" width="9.140625" style="51"/>
    <col min="3075" max="3075" width="10.140625" style="51" customWidth="1"/>
    <col min="3076" max="3076" width="10.140625" style="51" bestFit="1" customWidth="1"/>
    <col min="3077" max="3077" width="10.5703125" style="51" customWidth="1"/>
    <col min="3078" max="3078" width="10.140625" style="51" customWidth="1"/>
    <col min="3079" max="3087" width="9.140625" style="51"/>
    <col min="3088" max="3088" width="10.140625" style="51" bestFit="1" customWidth="1"/>
    <col min="3089" max="3328" width="9.140625" style="51"/>
    <col min="3329" max="3329" width="9.28515625" style="51" customWidth="1"/>
    <col min="3330" max="3330" width="9.140625" style="51"/>
    <col min="3331" max="3331" width="10.140625" style="51" customWidth="1"/>
    <col min="3332" max="3332" width="10.140625" style="51" bestFit="1" customWidth="1"/>
    <col min="3333" max="3333" width="10.5703125" style="51" customWidth="1"/>
    <col min="3334" max="3334" width="10.140625" style="51" customWidth="1"/>
    <col min="3335" max="3343" width="9.140625" style="51"/>
    <col min="3344" max="3344" width="10.140625" style="51" bestFit="1" customWidth="1"/>
    <col min="3345" max="3584" width="9.140625" style="51"/>
    <col min="3585" max="3585" width="9.28515625" style="51" customWidth="1"/>
    <col min="3586" max="3586" width="9.140625" style="51"/>
    <col min="3587" max="3587" width="10.140625" style="51" customWidth="1"/>
    <col min="3588" max="3588" width="10.140625" style="51" bestFit="1" customWidth="1"/>
    <col min="3589" max="3589" width="10.5703125" style="51" customWidth="1"/>
    <col min="3590" max="3590" width="10.140625" style="51" customWidth="1"/>
    <col min="3591" max="3599" width="9.140625" style="51"/>
    <col min="3600" max="3600" width="10.140625" style="51" bestFit="1" customWidth="1"/>
    <col min="3601" max="3840" width="9.140625" style="51"/>
    <col min="3841" max="3841" width="9.28515625" style="51" customWidth="1"/>
    <col min="3842" max="3842" width="9.140625" style="51"/>
    <col min="3843" max="3843" width="10.140625" style="51" customWidth="1"/>
    <col min="3844" max="3844" width="10.140625" style="51" bestFit="1" customWidth="1"/>
    <col min="3845" max="3845" width="10.5703125" style="51" customWidth="1"/>
    <col min="3846" max="3846" width="10.140625" style="51" customWidth="1"/>
    <col min="3847" max="3855" width="9.140625" style="51"/>
    <col min="3856" max="3856" width="10.140625" style="51" bestFit="1" customWidth="1"/>
    <col min="3857" max="4096" width="9.140625" style="51"/>
    <col min="4097" max="4097" width="9.28515625" style="51" customWidth="1"/>
    <col min="4098" max="4098" width="9.140625" style="51"/>
    <col min="4099" max="4099" width="10.140625" style="51" customWidth="1"/>
    <col min="4100" max="4100" width="10.140625" style="51" bestFit="1" customWidth="1"/>
    <col min="4101" max="4101" width="10.5703125" style="51" customWidth="1"/>
    <col min="4102" max="4102" width="10.140625" style="51" customWidth="1"/>
    <col min="4103" max="4111" width="9.140625" style="51"/>
    <col min="4112" max="4112" width="10.140625" style="51" bestFit="1" customWidth="1"/>
    <col min="4113" max="4352" width="9.140625" style="51"/>
    <col min="4353" max="4353" width="9.28515625" style="51" customWidth="1"/>
    <col min="4354" max="4354" width="9.140625" style="51"/>
    <col min="4355" max="4355" width="10.140625" style="51" customWidth="1"/>
    <col min="4356" max="4356" width="10.140625" style="51" bestFit="1" customWidth="1"/>
    <col min="4357" max="4357" width="10.5703125" style="51" customWidth="1"/>
    <col min="4358" max="4358" width="10.140625" style="51" customWidth="1"/>
    <col min="4359" max="4367" width="9.140625" style="51"/>
    <col min="4368" max="4368" width="10.140625" style="51" bestFit="1" customWidth="1"/>
    <col min="4369" max="4608" width="9.140625" style="51"/>
    <col min="4609" max="4609" width="9.28515625" style="51" customWidth="1"/>
    <col min="4610" max="4610" width="9.140625" style="51"/>
    <col min="4611" max="4611" width="10.140625" style="51" customWidth="1"/>
    <col min="4612" max="4612" width="10.140625" style="51" bestFit="1" customWidth="1"/>
    <col min="4613" max="4613" width="10.5703125" style="51" customWidth="1"/>
    <col min="4614" max="4614" width="10.140625" style="51" customWidth="1"/>
    <col min="4615" max="4623" width="9.140625" style="51"/>
    <col min="4624" max="4624" width="10.140625" style="51" bestFit="1" customWidth="1"/>
    <col min="4625" max="4864" width="9.140625" style="51"/>
    <col min="4865" max="4865" width="9.28515625" style="51" customWidth="1"/>
    <col min="4866" max="4866" width="9.140625" style="51"/>
    <col min="4867" max="4867" width="10.140625" style="51" customWidth="1"/>
    <col min="4868" max="4868" width="10.140625" style="51" bestFit="1" customWidth="1"/>
    <col min="4869" max="4869" width="10.5703125" style="51" customWidth="1"/>
    <col min="4870" max="4870" width="10.140625" style="51" customWidth="1"/>
    <col min="4871" max="4879" width="9.140625" style="51"/>
    <col min="4880" max="4880" width="10.140625" style="51" bestFit="1" customWidth="1"/>
    <col min="4881" max="5120" width="9.140625" style="51"/>
    <col min="5121" max="5121" width="9.28515625" style="51" customWidth="1"/>
    <col min="5122" max="5122" width="9.140625" style="51"/>
    <col min="5123" max="5123" width="10.140625" style="51" customWidth="1"/>
    <col min="5124" max="5124" width="10.140625" style="51" bestFit="1" customWidth="1"/>
    <col min="5125" max="5125" width="10.5703125" style="51" customWidth="1"/>
    <col min="5126" max="5126" width="10.140625" style="51" customWidth="1"/>
    <col min="5127" max="5135" width="9.140625" style="51"/>
    <col min="5136" max="5136" width="10.140625" style="51" bestFit="1" customWidth="1"/>
    <col min="5137" max="5376" width="9.140625" style="51"/>
    <col min="5377" max="5377" width="9.28515625" style="51" customWidth="1"/>
    <col min="5378" max="5378" width="9.140625" style="51"/>
    <col min="5379" max="5379" width="10.140625" style="51" customWidth="1"/>
    <col min="5380" max="5380" width="10.140625" style="51" bestFit="1" customWidth="1"/>
    <col min="5381" max="5381" width="10.5703125" style="51" customWidth="1"/>
    <col min="5382" max="5382" width="10.140625" style="51" customWidth="1"/>
    <col min="5383" max="5391" width="9.140625" style="51"/>
    <col min="5392" max="5392" width="10.140625" style="51" bestFit="1" customWidth="1"/>
    <col min="5393" max="5632" width="9.140625" style="51"/>
    <col min="5633" max="5633" width="9.28515625" style="51" customWidth="1"/>
    <col min="5634" max="5634" width="9.140625" style="51"/>
    <col min="5635" max="5635" width="10.140625" style="51" customWidth="1"/>
    <col min="5636" max="5636" width="10.140625" style="51" bestFit="1" customWidth="1"/>
    <col min="5637" max="5637" width="10.5703125" style="51" customWidth="1"/>
    <col min="5638" max="5638" width="10.140625" style="51" customWidth="1"/>
    <col min="5639" max="5647" width="9.140625" style="51"/>
    <col min="5648" max="5648" width="10.140625" style="51" bestFit="1" customWidth="1"/>
    <col min="5649" max="5888" width="9.140625" style="51"/>
    <col min="5889" max="5889" width="9.28515625" style="51" customWidth="1"/>
    <col min="5890" max="5890" width="9.140625" style="51"/>
    <col min="5891" max="5891" width="10.140625" style="51" customWidth="1"/>
    <col min="5892" max="5892" width="10.140625" style="51" bestFit="1" customWidth="1"/>
    <col min="5893" max="5893" width="10.5703125" style="51" customWidth="1"/>
    <col min="5894" max="5894" width="10.140625" style="51" customWidth="1"/>
    <col min="5895" max="5903" width="9.140625" style="51"/>
    <col min="5904" max="5904" width="10.140625" style="51" bestFit="1" customWidth="1"/>
    <col min="5905" max="6144" width="9.140625" style="51"/>
    <col min="6145" max="6145" width="9.28515625" style="51" customWidth="1"/>
    <col min="6146" max="6146" width="9.140625" style="51"/>
    <col min="6147" max="6147" width="10.140625" style="51" customWidth="1"/>
    <col min="6148" max="6148" width="10.140625" style="51" bestFit="1" customWidth="1"/>
    <col min="6149" max="6149" width="10.5703125" style="51" customWidth="1"/>
    <col min="6150" max="6150" width="10.140625" style="51" customWidth="1"/>
    <col min="6151" max="6159" width="9.140625" style="51"/>
    <col min="6160" max="6160" width="10.140625" style="51" bestFit="1" customWidth="1"/>
    <col min="6161" max="6400" width="9.140625" style="51"/>
    <col min="6401" max="6401" width="9.28515625" style="51" customWidth="1"/>
    <col min="6402" max="6402" width="9.140625" style="51"/>
    <col min="6403" max="6403" width="10.140625" style="51" customWidth="1"/>
    <col min="6404" max="6404" width="10.140625" style="51" bestFit="1" customWidth="1"/>
    <col min="6405" max="6405" width="10.5703125" style="51" customWidth="1"/>
    <col min="6406" max="6406" width="10.140625" style="51" customWidth="1"/>
    <col min="6407" max="6415" width="9.140625" style="51"/>
    <col min="6416" max="6416" width="10.140625" style="51" bestFit="1" customWidth="1"/>
    <col min="6417" max="6656" width="9.140625" style="51"/>
    <col min="6657" max="6657" width="9.28515625" style="51" customWidth="1"/>
    <col min="6658" max="6658" width="9.140625" style="51"/>
    <col min="6659" max="6659" width="10.140625" style="51" customWidth="1"/>
    <col min="6660" max="6660" width="10.140625" style="51" bestFit="1" customWidth="1"/>
    <col min="6661" max="6661" width="10.5703125" style="51" customWidth="1"/>
    <col min="6662" max="6662" width="10.140625" style="51" customWidth="1"/>
    <col min="6663" max="6671" width="9.140625" style="51"/>
    <col min="6672" max="6672" width="10.140625" style="51" bestFit="1" customWidth="1"/>
    <col min="6673" max="6912" width="9.140625" style="51"/>
    <col min="6913" max="6913" width="9.28515625" style="51" customWidth="1"/>
    <col min="6914" max="6914" width="9.140625" style="51"/>
    <col min="6915" max="6915" width="10.140625" style="51" customWidth="1"/>
    <col min="6916" max="6916" width="10.140625" style="51" bestFit="1" customWidth="1"/>
    <col min="6917" max="6917" width="10.5703125" style="51" customWidth="1"/>
    <col min="6918" max="6918" width="10.140625" style="51" customWidth="1"/>
    <col min="6919" max="6927" width="9.140625" style="51"/>
    <col min="6928" max="6928" width="10.140625" style="51" bestFit="1" customWidth="1"/>
    <col min="6929" max="7168" width="9.140625" style="51"/>
    <col min="7169" max="7169" width="9.28515625" style="51" customWidth="1"/>
    <col min="7170" max="7170" width="9.140625" style="51"/>
    <col min="7171" max="7171" width="10.140625" style="51" customWidth="1"/>
    <col min="7172" max="7172" width="10.140625" style="51" bestFit="1" customWidth="1"/>
    <col min="7173" max="7173" width="10.5703125" style="51" customWidth="1"/>
    <col min="7174" max="7174" width="10.140625" style="51" customWidth="1"/>
    <col min="7175" max="7183" width="9.140625" style="51"/>
    <col min="7184" max="7184" width="10.140625" style="51" bestFit="1" customWidth="1"/>
    <col min="7185" max="7424" width="9.140625" style="51"/>
    <col min="7425" max="7425" width="9.28515625" style="51" customWidth="1"/>
    <col min="7426" max="7426" width="9.140625" style="51"/>
    <col min="7427" max="7427" width="10.140625" style="51" customWidth="1"/>
    <col min="7428" max="7428" width="10.140625" style="51" bestFit="1" customWidth="1"/>
    <col min="7429" max="7429" width="10.5703125" style="51" customWidth="1"/>
    <col min="7430" max="7430" width="10.140625" style="51" customWidth="1"/>
    <col min="7431" max="7439" width="9.140625" style="51"/>
    <col min="7440" max="7440" width="10.140625" style="51" bestFit="1" customWidth="1"/>
    <col min="7441" max="7680" width="9.140625" style="51"/>
    <col min="7681" max="7681" width="9.28515625" style="51" customWidth="1"/>
    <col min="7682" max="7682" width="9.140625" style="51"/>
    <col min="7683" max="7683" width="10.140625" style="51" customWidth="1"/>
    <col min="7684" max="7684" width="10.140625" style="51" bestFit="1" customWidth="1"/>
    <col min="7685" max="7685" width="10.5703125" style="51" customWidth="1"/>
    <col min="7686" max="7686" width="10.140625" style="51" customWidth="1"/>
    <col min="7687" max="7695" width="9.140625" style="51"/>
    <col min="7696" max="7696" width="10.140625" style="51" bestFit="1" customWidth="1"/>
    <col min="7697" max="7936" width="9.140625" style="51"/>
    <col min="7937" max="7937" width="9.28515625" style="51" customWidth="1"/>
    <col min="7938" max="7938" width="9.140625" style="51"/>
    <col min="7939" max="7939" width="10.140625" style="51" customWidth="1"/>
    <col min="7940" max="7940" width="10.140625" style="51" bestFit="1" customWidth="1"/>
    <col min="7941" max="7941" width="10.5703125" style="51" customWidth="1"/>
    <col min="7942" max="7942" width="10.140625" style="51" customWidth="1"/>
    <col min="7943" max="7951" width="9.140625" style="51"/>
    <col min="7952" max="7952" width="10.140625" style="51" bestFit="1" customWidth="1"/>
    <col min="7953" max="8192" width="9.140625" style="51"/>
    <col min="8193" max="8193" width="9.28515625" style="51" customWidth="1"/>
    <col min="8194" max="8194" width="9.140625" style="51"/>
    <col min="8195" max="8195" width="10.140625" style="51" customWidth="1"/>
    <col min="8196" max="8196" width="10.140625" style="51" bestFit="1" customWidth="1"/>
    <col min="8197" max="8197" width="10.5703125" style="51" customWidth="1"/>
    <col min="8198" max="8198" width="10.140625" style="51" customWidth="1"/>
    <col min="8199" max="8207" width="9.140625" style="51"/>
    <col min="8208" max="8208" width="10.140625" style="51" bestFit="1" customWidth="1"/>
    <col min="8209" max="8448" width="9.140625" style="51"/>
    <col min="8449" max="8449" width="9.28515625" style="51" customWidth="1"/>
    <col min="8450" max="8450" width="9.140625" style="51"/>
    <col min="8451" max="8451" width="10.140625" style="51" customWidth="1"/>
    <col min="8452" max="8452" width="10.140625" style="51" bestFit="1" customWidth="1"/>
    <col min="8453" max="8453" width="10.5703125" style="51" customWidth="1"/>
    <col min="8454" max="8454" width="10.140625" style="51" customWidth="1"/>
    <col min="8455" max="8463" width="9.140625" style="51"/>
    <col min="8464" max="8464" width="10.140625" style="51" bestFit="1" customWidth="1"/>
    <col min="8465" max="8704" width="9.140625" style="51"/>
    <col min="8705" max="8705" width="9.28515625" style="51" customWidth="1"/>
    <col min="8706" max="8706" width="9.140625" style="51"/>
    <col min="8707" max="8707" width="10.140625" style="51" customWidth="1"/>
    <col min="8708" max="8708" width="10.140625" style="51" bestFit="1" customWidth="1"/>
    <col min="8709" max="8709" width="10.5703125" style="51" customWidth="1"/>
    <col min="8710" max="8710" width="10.140625" style="51" customWidth="1"/>
    <col min="8711" max="8719" width="9.140625" style="51"/>
    <col min="8720" max="8720" width="10.140625" style="51" bestFit="1" customWidth="1"/>
    <col min="8721" max="8960" width="9.140625" style="51"/>
    <col min="8961" max="8961" width="9.28515625" style="51" customWidth="1"/>
    <col min="8962" max="8962" width="9.140625" style="51"/>
    <col min="8963" max="8963" width="10.140625" style="51" customWidth="1"/>
    <col min="8964" max="8964" width="10.140625" style="51" bestFit="1" customWidth="1"/>
    <col min="8965" max="8965" width="10.5703125" style="51" customWidth="1"/>
    <col min="8966" max="8966" width="10.140625" style="51" customWidth="1"/>
    <col min="8967" max="8975" width="9.140625" style="51"/>
    <col min="8976" max="8976" width="10.140625" style="51" bestFit="1" customWidth="1"/>
    <col min="8977" max="9216" width="9.140625" style="51"/>
    <col min="9217" max="9217" width="9.28515625" style="51" customWidth="1"/>
    <col min="9218" max="9218" width="9.140625" style="51"/>
    <col min="9219" max="9219" width="10.140625" style="51" customWidth="1"/>
    <col min="9220" max="9220" width="10.140625" style="51" bestFit="1" customWidth="1"/>
    <col min="9221" max="9221" width="10.5703125" style="51" customWidth="1"/>
    <col min="9222" max="9222" width="10.140625" style="51" customWidth="1"/>
    <col min="9223" max="9231" width="9.140625" style="51"/>
    <col min="9232" max="9232" width="10.140625" style="51" bestFit="1" customWidth="1"/>
    <col min="9233" max="9472" width="9.140625" style="51"/>
    <col min="9473" max="9473" width="9.28515625" style="51" customWidth="1"/>
    <col min="9474" max="9474" width="9.140625" style="51"/>
    <col min="9475" max="9475" width="10.140625" style="51" customWidth="1"/>
    <col min="9476" max="9476" width="10.140625" style="51" bestFit="1" customWidth="1"/>
    <col min="9477" max="9477" width="10.5703125" style="51" customWidth="1"/>
    <col min="9478" max="9478" width="10.140625" style="51" customWidth="1"/>
    <col min="9479" max="9487" width="9.140625" style="51"/>
    <col min="9488" max="9488" width="10.140625" style="51" bestFit="1" customWidth="1"/>
    <col min="9489" max="9728" width="9.140625" style="51"/>
    <col min="9729" max="9729" width="9.28515625" style="51" customWidth="1"/>
    <col min="9730" max="9730" width="9.140625" style="51"/>
    <col min="9731" max="9731" width="10.140625" style="51" customWidth="1"/>
    <col min="9732" max="9732" width="10.140625" style="51" bestFit="1" customWidth="1"/>
    <col min="9733" max="9733" width="10.5703125" style="51" customWidth="1"/>
    <col min="9734" max="9734" width="10.140625" style="51" customWidth="1"/>
    <col min="9735" max="9743" width="9.140625" style="51"/>
    <col min="9744" max="9744" width="10.140625" style="51" bestFit="1" customWidth="1"/>
    <col min="9745" max="9984" width="9.140625" style="51"/>
    <col min="9985" max="9985" width="9.28515625" style="51" customWidth="1"/>
    <col min="9986" max="9986" width="9.140625" style="51"/>
    <col min="9987" max="9987" width="10.140625" style="51" customWidth="1"/>
    <col min="9988" max="9988" width="10.140625" style="51" bestFit="1" customWidth="1"/>
    <col min="9989" max="9989" width="10.5703125" style="51" customWidth="1"/>
    <col min="9990" max="9990" width="10.140625" style="51" customWidth="1"/>
    <col min="9991" max="9999" width="9.140625" style="51"/>
    <col min="10000" max="10000" width="10.140625" style="51" bestFit="1" customWidth="1"/>
    <col min="10001" max="10240" width="9.140625" style="51"/>
    <col min="10241" max="10241" width="9.28515625" style="51" customWidth="1"/>
    <col min="10242" max="10242" width="9.140625" style="51"/>
    <col min="10243" max="10243" width="10.140625" style="51" customWidth="1"/>
    <col min="10244" max="10244" width="10.140625" style="51" bestFit="1" customWidth="1"/>
    <col min="10245" max="10245" width="10.5703125" style="51" customWidth="1"/>
    <col min="10246" max="10246" width="10.140625" style="51" customWidth="1"/>
    <col min="10247" max="10255" width="9.140625" style="51"/>
    <col min="10256" max="10256" width="10.140625" style="51" bestFit="1" customWidth="1"/>
    <col min="10257" max="10496" width="9.140625" style="51"/>
    <col min="10497" max="10497" width="9.28515625" style="51" customWidth="1"/>
    <col min="10498" max="10498" width="9.140625" style="51"/>
    <col min="10499" max="10499" width="10.140625" style="51" customWidth="1"/>
    <col min="10500" max="10500" width="10.140625" style="51" bestFit="1" customWidth="1"/>
    <col min="10501" max="10501" width="10.5703125" style="51" customWidth="1"/>
    <col min="10502" max="10502" width="10.140625" style="51" customWidth="1"/>
    <col min="10503" max="10511" width="9.140625" style="51"/>
    <col min="10512" max="10512" width="10.140625" style="51" bestFit="1" customWidth="1"/>
    <col min="10513" max="10752" width="9.140625" style="51"/>
    <col min="10753" max="10753" width="9.28515625" style="51" customWidth="1"/>
    <col min="10754" max="10754" width="9.140625" style="51"/>
    <col min="10755" max="10755" width="10.140625" style="51" customWidth="1"/>
    <col min="10756" max="10756" width="10.140625" style="51" bestFit="1" customWidth="1"/>
    <col min="10757" max="10757" width="10.5703125" style="51" customWidth="1"/>
    <col min="10758" max="10758" width="10.140625" style="51" customWidth="1"/>
    <col min="10759" max="10767" width="9.140625" style="51"/>
    <col min="10768" max="10768" width="10.140625" style="51" bestFit="1" customWidth="1"/>
    <col min="10769" max="11008" width="9.140625" style="51"/>
    <col min="11009" max="11009" width="9.28515625" style="51" customWidth="1"/>
    <col min="11010" max="11010" width="9.140625" style="51"/>
    <col min="11011" max="11011" width="10.140625" style="51" customWidth="1"/>
    <col min="11012" max="11012" width="10.140625" style="51" bestFit="1" customWidth="1"/>
    <col min="11013" max="11013" width="10.5703125" style="51" customWidth="1"/>
    <col min="11014" max="11014" width="10.140625" style="51" customWidth="1"/>
    <col min="11015" max="11023" width="9.140625" style="51"/>
    <col min="11024" max="11024" width="10.140625" style="51" bestFit="1" customWidth="1"/>
    <col min="11025" max="11264" width="9.140625" style="51"/>
    <col min="11265" max="11265" width="9.28515625" style="51" customWidth="1"/>
    <col min="11266" max="11266" width="9.140625" style="51"/>
    <col min="11267" max="11267" width="10.140625" style="51" customWidth="1"/>
    <col min="11268" max="11268" width="10.140625" style="51" bestFit="1" customWidth="1"/>
    <col min="11269" max="11269" width="10.5703125" style="51" customWidth="1"/>
    <col min="11270" max="11270" width="10.140625" style="51" customWidth="1"/>
    <col min="11271" max="11279" width="9.140625" style="51"/>
    <col min="11280" max="11280" width="10.140625" style="51" bestFit="1" customWidth="1"/>
    <col min="11281" max="11520" width="9.140625" style="51"/>
    <col min="11521" max="11521" width="9.28515625" style="51" customWidth="1"/>
    <col min="11522" max="11522" width="9.140625" style="51"/>
    <col min="11523" max="11523" width="10.140625" style="51" customWidth="1"/>
    <col min="11524" max="11524" width="10.140625" style="51" bestFit="1" customWidth="1"/>
    <col min="11525" max="11525" width="10.5703125" style="51" customWidth="1"/>
    <col min="11526" max="11526" width="10.140625" style="51" customWidth="1"/>
    <col min="11527" max="11535" width="9.140625" style="51"/>
    <col min="11536" max="11536" width="10.140625" style="51" bestFit="1" customWidth="1"/>
    <col min="11537" max="11776" width="9.140625" style="51"/>
    <col min="11777" max="11777" width="9.28515625" style="51" customWidth="1"/>
    <col min="11778" max="11778" width="9.140625" style="51"/>
    <col min="11779" max="11779" width="10.140625" style="51" customWidth="1"/>
    <col min="11780" max="11780" width="10.140625" style="51" bestFit="1" customWidth="1"/>
    <col min="11781" max="11781" width="10.5703125" style="51" customWidth="1"/>
    <col min="11782" max="11782" width="10.140625" style="51" customWidth="1"/>
    <col min="11783" max="11791" width="9.140625" style="51"/>
    <col min="11792" max="11792" width="10.140625" style="51" bestFit="1" customWidth="1"/>
    <col min="11793" max="12032" width="9.140625" style="51"/>
    <col min="12033" max="12033" width="9.28515625" style="51" customWidth="1"/>
    <col min="12034" max="12034" width="9.140625" style="51"/>
    <col min="12035" max="12035" width="10.140625" style="51" customWidth="1"/>
    <col min="12036" max="12036" width="10.140625" style="51" bestFit="1" customWidth="1"/>
    <col min="12037" max="12037" width="10.5703125" style="51" customWidth="1"/>
    <col min="12038" max="12038" width="10.140625" style="51" customWidth="1"/>
    <col min="12039" max="12047" width="9.140625" style="51"/>
    <col min="12048" max="12048" width="10.140625" style="51" bestFit="1" customWidth="1"/>
    <col min="12049" max="12288" width="9.140625" style="51"/>
    <col min="12289" max="12289" width="9.28515625" style="51" customWidth="1"/>
    <col min="12290" max="12290" width="9.140625" style="51"/>
    <col min="12291" max="12291" width="10.140625" style="51" customWidth="1"/>
    <col min="12292" max="12292" width="10.140625" style="51" bestFit="1" customWidth="1"/>
    <col min="12293" max="12293" width="10.5703125" style="51" customWidth="1"/>
    <col min="12294" max="12294" width="10.140625" style="51" customWidth="1"/>
    <col min="12295" max="12303" width="9.140625" style="51"/>
    <col min="12304" max="12304" width="10.140625" style="51" bestFit="1" customWidth="1"/>
    <col min="12305" max="12544" width="9.140625" style="51"/>
    <col min="12545" max="12545" width="9.28515625" style="51" customWidth="1"/>
    <col min="12546" max="12546" width="9.140625" style="51"/>
    <col min="12547" max="12547" width="10.140625" style="51" customWidth="1"/>
    <col min="12548" max="12548" width="10.140625" style="51" bestFit="1" customWidth="1"/>
    <col min="12549" max="12549" width="10.5703125" style="51" customWidth="1"/>
    <col min="12550" max="12550" width="10.140625" style="51" customWidth="1"/>
    <col min="12551" max="12559" width="9.140625" style="51"/>
    <col min="12560" max="12560" width="10.140625" style="51" bestFit="1" customWidth="1"/>
    <col min="12561" max="12800" width="9.140625" style="51"/>
    <col min="12801" max="12801" width="9.28515625" style="51" customWidth="1"/>
    <col min="12802" max="12802" width="9.140625" style="51"/>
    <col min="12803" max="12803" width="10.140625" style="51" customWidth="1"/>
    <col min="12804" max="12804" width="10.140625" style="51" bestFit="1" customWidth="1"/>
    <col min="12805" max="12805" width="10.5703125" style="51" customWidth="1"/>
    <col min="12806" max="12806" width="10.140625" style="51" customWidth="1"/>
    <col min="12807" max="12815" width="9.140625" style="51"/>
    <col min="12816" max="12816" width="10.140625" style="51" bestFit="1" customWidth="1"/>
    <col min="12817" max="13056" width="9.140625" style="51"/>
    <col min="13057" max="13057" width="9.28515625" style="51" customWidth="1"/>
    <col min="13058" max="13058" width="9.140625" style="51"/>
    <col min="13059" max="13059" width="10.140625" style="51" customWidth="1"/>
    <col min="13060" max="13060" width="10.140625" style="51" bestFit="1" customWidth="1"/>
    <col min="13061" max="13061" width="10.5703125" style="51" customWidth="1"/>
    <col min="13062" max="13062" width="10.140625" style="51" customWidth="1"/>
    <col min="13063" max="13071" width="9.140625" style="51"/>
    <col min="13072" max="13072" width="10.140625" style="51" bestFit="1" customWidth="1"/>
    <col min="13073" max="13312" width="9.140625" style="51"/>
    <col min="13313" max="13313" width="9.28515625" style="51" customWidth="1"/>
    <col min="13314" max="13314" width="9.140625" style="51"/>
    <col min="13315" max="13315" width="10.140625" style="51" customWidth="1"/>
    <col min="13316" max="13316" width="10.140625" style="51" bestFit="1" customWidth="1"/>
    <col min="13317" max="13317" width="10.5703125" style="51" customWidth="1"/>
    <col min="13318" max="13318" width="10.140625" style="51" customWidth="1"/>
    <col min="13319" max="13327" width="9.140625" style="51"/>
    <col min="13328" max="13328" width="10.140625" style="51" bestFit="1" customWidth="1"/>
    <col min="13329" max="13568" width="9.140625" style="51"/>
    <col min="13569" max="13569" width="9.28515625" style="51" customWidth="1"/>
    <col min="13570" max="13570" width="9.140625" style="51"/>
    <col min="13571" max="13571" width="10.140625" style="51" customWidth="1"/>
    <col min="13572" max="13572" width="10.140625" style="51" bestFit="1" customWidth="1"/>
    <col min="13573" max="13573" width="10.5703125" style="51" customWidth="1"/>
    <col min="13574" max="13574" width="10.140625" style="51" customWidth="1"/>
    <col min="13575" max="13583" width="9.140625" style="51"/>
    <col min="13584" max="13584" width="10.140625" style="51" bestFit="1" customWidth="1"/>
    <col min="13585" max="13824" width="9.140625" style="51"/>
    <col min="13825" max="13825" width="9.28515625" style="51" customWidth="1"/>
    <col min="13826" max="13826" width="9.140625" style="51"/>
    <col min="13827" max="13827" width="10.140625" style="51" customWidth="1"/>
    <col min="13828" max="13828" width="10.140625" style="51" bestFit="1" customWidth="1"/>
    <col min="13829" max="13829" width="10.5703125" style="51" customWidth="1"/>
    <col min="13830" max="13830" width="10.140625" style="51" customWidth="1"/>
    <col min="13831" max="13839" width="9.140625" style="51"/>
    <col min="13840" max="13840" width="10.140625" style="51" bestFit="1" customWidth="1"/>
    <col min="13841" max="14080" width="9.140625" style="51"/>
    <col min="14081" max="14081" width="9.28515625" style="51" customWidth="1"/>
    <col min="14082" max="14082" width="9.140625" style="51"/>
    <col min="14083" max="14083" width="10.140625" style="51" customWidth="1"/>
    <col min="14084" max="14084" width="10.140625" style="51" bestFit="1" customWidth="1"/>
    <col min="14085" max="14085" width="10.5703125" style="51" customWidth="1"/>
    <col min="14086" max="14086" width="10.140625" style="51" customWidth="1"/>
    <col min="14087" max="14095" width="9.140625" style="51"/>
    <col min="14096" max="14096" width="10.140625" style="51" bestFit="1" customWidth="1"/>
    <col min="14097" max="14336" width="9.140625" style="51"/>
    <col min="14337" max="14337" width="9.28515625" style="51" customWidth="1"/>
    <col min="14338" max="14338" width="9.140625" style="51"/>
    <col min="14339" max="14339" width="10.140625" style="51" customWidth="1"/>
    <col min="14340" max="14340" width="10.140625" style="51" bestFit="1" customWidth="1"/>
    <col min="14341" max="14341" width="10.5703125" style="51" customWidth="1"/>
    <col min="14342" max="14342" width="10.140625" style="51" customWidth="1"/>
    <col min="14343" max="14351" width="9.140625" style="51"/>
    <col min="14352" max="14352" width="10.140625" style="51" bestFit="1" customWidth="1"/>
    <col min="14353" max="14592" width="9.140625" style="51"/>
    <col min="14593" max="14593" width="9.28515625" style="51" customWidth="1"/>
    <col min="14594" max="14594" width="9.140625" style="51"/>
    <col min="14595" max="14595" width="10.140625" style="51" customWidth="1"/>
    <col min="14596" max="14596" width="10.140625" style="51" bestFit="1" customWidth="1"/>
    <col min="14597" max="14597" width="10.5703125" style="51" customWidth="1"/>
    <col min="14598" max="14598" width="10.140625" style="51" customWidth="1"/>
    <col min="14599" max="14607" width="9.140625" style="51"/>
    <col min="14608" max="14608" width="10.140625" style="51" bestFit="1" customWidth="1"/>
    <col min="14609" max="14848" width="9.140625" style="51"/>
    <col min="14849" max="14849" width="9.28515625" style="51" customWidth="1"/>
    <col min="14850" max="14850" width="9.140625" style="51"/>
    <col min="14851" max="14851" width="10.140625" style="51" customWidth="1"/>
    <col min="14852" max="14852" width="10.140625" style="51" bestFit="1" customWidth="1"/>
    <col min="14853" max="14853" width="10.5703125" style="51" customWidth="1"/>
    <col min="14854" max="14854" width="10.140625" style="51" customWidth="1"/>
    <col min="14855" max="14863" width="9.140625" style="51"/>
    <col min="14864" max="14864" width="10.140625" style="51" bestFit="1" customWidth="1"/>
    <col min="14865" max="15104" width="9.140625" style="51"/>
    <col min="15105" max="15105" width="9.28515625" style="51" customWidth="1"/>
    <col min="15106" max="15106" width="9.140625" style="51"/>
    <col min="15107" max="15107" width="10.140625" style="51" customWidth="1"/>
    <col min="15108" max="15108" width="10.140625" style="51" bestFit="1" customWidth="1"/>
    <col min="15109" max="15109" width="10.5703125" style="51" customWidth="1"/>
    <col min="15110" max="15110" width="10.140625" style="51" customWidth="1"/>
    <col min="15111" max="15119" width="9.140625" style="51"/>
    <col min="15120" max="15120" width="10.140625" style="51" bestFit="1" customWidth="1"/>
    <col min="15121" max="15360" width="9.140625" style="51"/>
    <col min="15361" max="15361" width="9.28515625" style="51" customWidth="1"/>
    <col min="15362" max="15362" width="9.140625" style="51"/>
    <col min="15363" max="15363" width="10.140625" style="51" customWidth="1"/>
    <col min="15364" max="15364" width="10.140625" style="51" bestFit="1" customWidth="1"/>
    <col min="15365" max="15365" width="10.5703125" style="51" customWidth="1"/>
    <col min="15366" max="15366" width="10.140625" style="51" customWidth="1"/>
    <col min="15367" max="15375" width="9.140625" style="51"/>
    <col min="15376" max="15376" width="10.140625" style="51" bestFit="1" customWidth="1"/>
    <col min="15377" max="15616" width="9.140625" style="51"/>
    <col min="15617" max="15617" width="9.28515625" style="51" customWidth="1"/>
    <col min="15618" max="15618" width="9.140625" style="51"/>
    <col min="15619" max="15619" width="10.140625" style="51" customWidth="1"/>
    <col min="15620" max="15620" width="10.140625" style="51" bestFit="1" customWidth="1"/>
    <col min="15621" max="15621" width="10.5703125" style="51" customWidth="1"/>
    <col min="15622" max="15622" width="10.140625" style="51" customWidth="1"/>
    <col min="15623" max="15631" width="9.140625" style="51"/>
    <col min="15632" max="15632" width="10.140625" style="51" bestFit="1" customWidth="1"/>
    <col min="15633" max="15872" width="9.140625" style="51"/>
    <col min="15873" max="15873" width="9.28515625" style="51" customWidth="1"/>
    <col min="15874" max="15874" width="9.140625" style="51"/>
    <col min="15875" max="15875" width="10.140625" style="51" customWidth="1"/>
    <col min="15876" max="15876" width="10.140625" style="51" bestFit="1" customWidth="1"/>
    <col min="15877" max="15877" width="10.5703125" style="51" customWidth="1"/>
    <col min="15878" max="15878" width="10.140625" style="51" customWidth="1"/>
    <col min="15879" max="15887" width="9.140625" style="51"/>
    <col min="15888" max="15888" width="10.140625" style="51" bestFit="1" customWidth="1"/>
    <col min="15889" max="16128" width="9.140625" style="51"/>
    <col min="16129" max="16129" width="9.28515625" style="51" customWidth="1"/>
    <col min="16130" max="16130" width="9.140625" style="51"/>
    <col min="16131" max="16131" width="10.140625" style="51" customWidth="1"/>
    <col min="16132" max="16132" width="10.140625" style="51" bestFit="1" customWidth="1"/>
    <col min="16133" max="16133" width="10.5703125" style="51" customWidth="1"/>
    <col min="16134" max="16134" width="10.140625" style="51" customWidth="1"/>
    <col min="16135" max="16143" width="9.140625" style="51"/>
    <col min="16144" max="16144" width="10.140625" style="51" bestFit="1" customWidth="1"/>
    <col min="16145" max="16384" width="9.140625" style="51"/>
  </cols>
  <sheetData>
    <row r="2" spans="1:8" ht="15">
      <c r="A2" s="71" t="s">
        <v>79</v>
      </c>
    </row>
    <row r="3" spans="1:8">
      <c r="A3" s="72"/>
    </row>
    <row r="4" spans="1:8">
      <c r="A4" s="72"/>
    </row>
    <row r="5" spans="1:8">
      <c r="A5" s="72"/>
      <c r="C5" s="72" t="s">
        <v>51</v>
      </c>
      <c r="D5" s="72" t="s">
        <v>52</v>
      </c>
      <c r="E5" s="72" t="s">
        <v>53</v>
      </c>
      <c r="F5" s="72" t="s">
        <v>54</v>
      </c>
      <c r="G5" s="72"/>
      <c r="H5" s="72" t="s">
        <v>80</v>
      </c>
    </row>
    <row r="7" spans="1:8">
      <c r="A7" s="72" t="s">
        <v>81</v>
      </c>
      <c r="C7" s="51" t="str">
        <f>IF([1]Calcs!B$13='[1]Schedules &amp; Tables'!$F$4,"ABP",IF([1]Calcs!B$13='[1]Schedules &amp; Tables'!$F$5,"TTR",IF([1]Calcs!B$13='[1]Schedules &amp; Tables'!$F$6,"MLP","")))</f>
        <v/>
      </c>
      <c r="D7" s="51" t="str">
        <f>IF([1]Calcs!C$13='[1]Schedules &amp; Tables'!$F$4,"ABP",IF([1]Calcs!C13='[1]Schedules &amp; Tables'!$F$5,"TTR",IF([1]Calcs!C13='[1]Schedules &amp; Tables'!$F$6,"MLP","")))</f>
        <v/>
      </c>
      <c r="E7" s="51" t="str">
        <f>IF([1]Calcs!D$13='[1]Schedules &amp; Tables'!$F$4,"ABP",IF([1]Calcs!D13='[1]Schedules &amp; Tables'!$F$5,"TTR",IF([1]Calcs!D13='[1]Schedules &amp; Tables'!$F$6,"MLP","")))</f>
        <v/>
      </c>
      <c r="F7" s="51" t="str">
        <f>IF([1]Calcs!E$13='[1]Schedules &amp; Tables'!$F$4,"ABP",IF([1]Calcs!E13='[1]Schedules &amp; Tables'!$F$5,"TTR",IF([1]Calcs!E13='[1]Schedules &amp; Tables'!$F$6,"MLP","")))</f>
        <v/>
      </c>
    </row>
    <row r="10" spans="1:8">
      <c r="A10" s="72" t="s">
        <v>82</v>
      </c>
      <c r="C10" s="51" t="str">
        <f>IF(C$7="ABP","Yes","")</f>
        <v/>
      </c>
      <c r="D10" s="51" t="str">
        <f>IF(D$7="ABP","Yes","")</f>
        <v/>
      </c>
      <c r="E10" s="51" t="str">
        <f>IF(E$7="ABP","Yes","")</f>
        <v/>
      </c>
      <c r="F10" s="51" t="str">
        <f>IF(F$7="ABP","Yes","")</f>
        <v/>
      </c>
      <c r="H10" s="50" t="s">
        <v>83</v>
      </c>
    </row>
    <row r="12" spans="1:8">
      <c r="A12" s="50" t="s">
        <v>84</v>
      </c>
      <c r="C12" s="61" t="str">
        <f>IF(C10&lt;&gt;"",IF([1]Calcs!B$14="Yes",[1]Calcs!B$15,[1]Calcs!$B$7),"")</f>
        <v/>
      </c>
      <c r="D12" s="61" t="str">
        <f>IF(D10&lt;&gt;"",IF([1]Calcs!C$14="Yes",[1]Calcs!C$15,[1]Calcs!$B$7),"")</f>
        <v/>
      </c>
      <c r="E12" s="61" t="str">
        <f>IF(E10&lt;&gt;"",IF([1]Calcs!D$14="Yes",[1]Calcs!D$15,[1]Calcs!$B$7),"")</f>
        <v/>
      </c>
      <c r="F12" s="61" t="str">
        <f>IF(F10&lt;&gt;"",IF([1]Calcs!E$14="Yes",[1]Calcs!E$15,[1]Calcs!$B$7),"")</f>
        <v/>
      </c>
      <c r="H12" s="50" t="s">
        <v>85</v>
      </c>
    </row>
    <row r="13" spans="1:8">
      <c r="A13" s="50" t="s">
        <v>86</v>
      </c>
      <c r="C13" s="61" t="str">
        <f>IF(C10&lt;&gt;"",IF([1]Calcs!B$17="Yes",[1]Calcs!B$18,[1]Calcs!$B$8),"")</f>
        <v/>
      </c>
      <c r="D13" s="61" t="str">
        <f>IF(D10&lt;&gt;"",IF([1]Calcs!C$17="Yes",[1]Calcs!C$18,[1]Calcs!$B$8),"")</f>
        <v/>
      </c>
      <c r="E13" s="61" t="str">
        <f>IF(E10&lt;&gt;"",IF([1]Calcs!D$17="Yes",[1]Calcs!D$18,[1]Calcs!$B$8),"")</f>
        <v/>
      </c>
      <c r="F13" s="61" t="str">
        <f>IF(F10&lt;&gt;"",IF([1]Calcs!E$17="Yes",[1]Calcs!E$18,[1]Calcs!$B$8),"")</f>
        <v/>
      </c>
      <c r="H13" s="50" t="s">
        <v>87</v>
      </c>
    </row>
    <row r="14" spans="1:8">
      <c r="A14" s="50" t="s">
        <v>88</v>
      </c>
      <c r="C14" s="51" t="str">
        <f>IF(C10&lt;&gt;"",C13-C12+1,"")</f>
        <v/>
      </c>
      <c r="D14" s="51" t="str">
        <f>IF(D10&lt;&gt;"",D13-D12+1,"")</f>
        <v/>
      </c>
      <c r="E14" s="51" t="str">
        <f>IF(E10&lt;&gt;"",E13-E12+1,"")</f>
        <v/>
      </c>
      <c r="F14" s="51" t="str">
        <f>IF(F10&lt;&gt;"",F13-F12+1,"")</f>
        <v/>
      </c>
      <c r="H14" s="50" t="s">
        <v>89</v>
      </c>
    </row>
    <row r="15" spans="1:8">
      <c r="A15" s="50" t="s">
        <v>90</v>
      </c>
      <c r="C15" s="51" t="str">
        <f>IF(C10&lt;&gt;"",C$14/VLOOKUP([1]Calcs!$B$6,DaysinFY,2,FALSE),"")</f>
        <v/>
      </c>
      <c r="D15" s="73" t="str">
        <f>IF(D10&lt;&gt;"",D$14/VLOOKUP([1]Calcs!$B$6,DaysinFY,2,FALSE),"")</f>
        <v/>
      </c>
      <c r="E15" s="73" t="str">
        <f>IF(E10&lt;&gt;"",E$14/VLOOKUP([1]Calcs!$B$6,DaysinFY,2,FALSE),"")</f>
        <v/>
      </c>
      <c r="F15" s="73" t="str">
        <f>IF(F10&lt;&gt;"",F$14/VLOOKUP([1]Calcs!$B$6,DaysinFY,2,FALSE),"")</f>
        <v/>
      </c>
      <c r="H15" s="50" t="s">
        <v>91</v>
      </c>
    </row>
    <row r="17" spans="1:8">
      <c r="A17" s="50" t="s">
        <v>92</v>
      </c>
      <c r="C17" s="74" t="str">
        <f>IF(C10&lt;&gt;"",YEARFRAC([1]Calcs!B$12,C12),"")</f>
        <v/>
      </c>
      <c r="D17" s="74" t="str">
        <f>IF(D10&lt;&gt;"",YEARFRAC([1]Calcs!C$12,D12),"")</f>
        <v/>
      </c>
      <c r="E17" s="74" t="str">
        <f>IF(E10&lt;&gt;"",YEARFRAC([1]Calcs!D$12,E12),"")</f>
        <v/>
      </c>
      <c r="F17" s="74" t="str">
        <f>IF(F10&lt;&gt;"",YEARFRAC([1]Calcs!E$12,F12),"")</f>
        <v/>
      </c>
      <c r="H17" s="50" t="s">
        <v>93</v>
      </c>
    </row>
    <row r="18" spans="1:8">
      <c r="A18" s="50" t="s">
        <v>94</v>
      </c>
      <c r="C18" s="75" t="str">
        <f>IF(C10&lt;&gt;"",VLOOKUP(C17,Schedule7,3),"")</f>
        <v/>
      </c>
      <c r="D18" s="75" t="str">
        <f>IF(D10&lt;&gt;"",VLOOKUP(D17,Schedule7,3),"")</f>
        <v/>
      </c>
      <c r="E18" s="75" t="str">
        <f>IF(E10&lt;&gt;"",VLOOKUP(E17,Schedule7,3),"")</f>
        <v/>
      </c>
      <c r="F18" s="75" t="str">
        <f>IF(F10&lt;&gt;"",VLOOKUP(F17,Schedule7,3),"")</f>
        <v/>
      </c>
      <c r="H18" s="50" t="s">
        <v>95</v>
      </c>
    </row>
    <row r="20" spans="1:8">
      <c r="A20" s="50" t="s">
        <v>96</v>
      </c>
      <c r="C20" s="76" t="str">
        <f>IF(C10&lt;&gt;"",IF(MONTH(C12)=6,"$0**",ROUND([1]Calcs!B$16*C15*C18,-1)),"")</f>
        <v/>
      </c>
      <c r="D20" s="76" t="str">
        <f>IF(D10&lt;&gt;"",IF(MONTH(D12)=6,"$0**",ROUND([1]Calcs!C$16*D15*D18,-1)),"")</f>
        <v/>
      </c>
      <c r="E20" s="76" t="str">
        <f>IF(E10&lt;&gt;"",IF(MONTH(E12)=6,"$0**",ROUND([1]Calcs!D$16*E15*E18,-1)),"")</f>
        <v/>
      </c>
      <c r="F20" s="76" t="str">
        <f>IF(F10&lt;&gt;"",IF(MONTH(F12)=6,"$0**",ROUND([1]Calcs!E$16*F15*F18,-1)),"")</f>
        <v/>
      </c>
      <c r="H20" s="50" t="s">
        <v>97</v>
      </c>
    </row>
    <row r="21" spans="1:8">
      <c r="A21" s="50" t="s">
        <v>98</v>
      </c>
      <c r="C21" s="51" t="str">
        <f>IF(C10&lt;&gt;"","N/A","")</f>
        <v/>
      </c>
      <c r="D21" s="51" t="str">
        <f>IF(D10&lt;&gt;"","N/A","")</f>
        <v/>
      </c>
      <c r="E21" s="51" t="str">
        <f>IF(E10&lt;&gt;"","N/A","")</f>
        <v/>
      </c>
      <c r="F21" s="51" t="str">
        <f>IF(F10&lt;&gt;"","N/A","")</f>
        <v/>
      </c>
      <c r="H21" s="50" t="s">
        <v>99</v>
      </c>
    </row>
    <row r="24" spans="1:8">
      <c r="A24" s="72" t="s">
        <v>100</v>
      </c>
      <c r="C24" s="51" t="str">
        <f>IF(C$7="TTR","Yes","")</f>
        <v/>
      </c>
      <c r="D24" s="51" t="str">
        <f>IF(D$7="TTR","Yes","")</f>
        <v/>
      </c>
      <c r="E24" s="51" t="str">
        <f>IF(E$7="TTR","Yes","")</f>
        <v/>
      </c>
      <c r="F24" s="51" t="str">
        <f>IF(F$7="TTR","Yes","")</f>
        <v/>
      </c>
      <c r="H24" s="50" t="s">
        <v>101</v>
      </c>
    </row>
    <row r="26" spans="1:8">
      <c r="A26" s="50" t="s">
        <v>84</v>
      </c>
      <c r="C26" s="61" t="str">
        <f>IF(C24&lt;&gt;"",IF([1]Calcs!B$14="Yes",[1]Calcs!B$15,[1]Calcs!$B$7),"")</f>
        <v/>
      </c>
      <c r="D26" s="61" t="str">
        <f>IF(D24&lt;&gt;"",IF([1]Calcs!C$14="Yes",[1]Calcs!C$15,[1]Calcs!$B$7),"")</f>
        <v/>
      </c>
      <c r="E26" s="61" t="str">
        <f>IF(E24&lt;&gt;"",IF([1]Calcs!D$14="Yes",[1]Calcs!D$15,[1]Calcs!$B$7),"")</f>
        <v/>
      </c>
      <c r="F26" s="61" t="str">
        <f>IF(F24&lt;&gt;"",IF([1]Calcs!E$14="Yes",[1]Calcs!E$15,[1]Calcs!$B$7),"")</f>
        <v/>
      </c>
      <c r="H26" s="50" t="s">
        <v>85</v>
      </c>
    </row>
    <row r="27" spans="1:8">
      <c r="A27" s="50" t="s">
        <v>86</v>
      </c>
      <c r="C27" s="61" t="str">
        <f>IF(C24&lt;&gt;"",IF([1]Calcs!B$17="Yes",[1]Calcs!B$18,[1]Calcs!$B$8),"")</f>
        <v/>
      </c>
      <c r="D27" s="61" t="str">
        <f>IF(D24&lt;&gt;"",IF([1]Calcs!C$17="Yes",[1]Calcs!C$18,[1]Calcs!$B$8),"")</f>
        <v/>
      </c>
      <c r="E27" s="61" t="str">
        <f>IF(E24&lt;&gt;"",IF([1]Calcs!D$17="Yes",[1]Calcs!D$18,[1]Calcs!$B$8),"")</f>
        <v/>
      </c>
      <c r="F27" s="61" t="str">
        <f>IF(F24&lt;&gt;"",IF([1]Calcs!E$17="Yes",[1]Calcs!E$18,[1]Calcs!$B$8),"")</f>
        <v/>
      </c>
      <c r="H27" s="50" t="s">
        <v>87</v>
      </c>
    </row>
    <row r="28" spans="1:8">
      <c r="A28" s="50" t="s">
        <v>88</v>
      </c>
      <c r="C28" s="51" t="str">
        <f>IF(C24&lt;&gt;"",C27-C26+1,"")</f>
        <v/>
      </c>
      <c r="D28" s="51" t="str">
        <f>IF(D24&lt;&gt;"",D27-D26+1,"")</f>
        <v/>
      </c>
      <c r="E28" s="51" t="str">
        <f>IF(E24&lt;&gt;"",E27-E26+1,"")</f>
        <v/>
      </c>
      <c r="F28" s="51" t="str">
        <f>IF(F24&lt;&gt;"",F27-F26+1,"")</f>
        <v/>
      </c>
      <c r="H28" s="50" t="s">
        <v>89</v>
      </c>
    </row>
    <row r="29" spans="1:8">
      <c r="A29" s="50" t="s">
        <v>90</v>
      </c>
      <c r="C29" s="51" t="str">
        <f>IF(C24&lt;&gt;"",C$28/VLOOKUP([1]Calcs!$B$6,DaysinFY,2,FALSE),"")</f>
        <v/>
      </c>
      <c r="D29" s="51" t="str">
        <f>IF(D24&lt;&gt;"",D$28/VLOOKUP([1]Calcs!$B$6,DaysinFY,2,FALSE),"")</f>
        <v/>
      </c>
      <c r="E29" s="51" t="str">
        <f>IF(E24&lt;&gt;"",E$28/VLOOKUP([1]Calcs!$B$6,DaysinFY,2,FALSE),"")</f>
        <v/>
      </c>
      <c r="F29" s="51" t="str">
        <f>IF(F24&lt;&gt;"",F$28/VLOOKUP([1]Calcs!$B$6,DaysinFY,2,FALSE),"")</f>
        <v/>
      </c>
      <c r="H29" s="50" t="s">
        <v>91</v>
      </c>
    </row>
    <row r="31" spans="1:8">
      <c r="A31" s="50" t="s">
        <v>92</v>
      </c>
      <c r="C31" s="74" t="str">
        <f>IF(C24&lt;&gt;"",YEARFRAC([1]Calcs!B$12,C26),"")</f>
        <v/>
      </c>
      <c r="D31" s="74" t="str">
        <f>IF(D24&lt;&gt;"",YEARFRAC([1]Calcs!C$12,D26),"")</f>
        <v/>
      </c>
      <c r="E31" s="74" t="str">
        <f>IF(E24&lt;&gt;"",YEARFRAC([1]Calcs!D$12,E26),"")</f>
        <v/>
      </c>
      <c r="F31" s="74" t="str">
        <f>IF(F24&lt;&gt;"",YEARFRAC([1]Calcs!E$12,F26),"")</f>
        <v/>
      </c>
      <c r="H31" s="50" t="s">
        <v>93</v>
      </c>
    </row>
    <row r="32" spans="1:8">
      <c r="A32" s="50" t="s">
        <v>94</v>
      </c>
      <c r="C32" s="75" t="str">
        <f>IF(C24&lt;&gt;"",VLOOKUP(C31,Schedule7,3),"")</f>
        <v/>
      </c>
      <c r="D32" s="75" t="str">
        <f>IF(D24&lt;&gt;"",VLOOKUP(D31,Schedule7,3),"")</f>
        <v/>
      </c>
      <c r="E32" s="75" t="str">
        <f>IF(E24&lt;&gt;"",VLOOKUP(E31,Schedule7,3),"")</f>
        <v/>
      </c>
      <c r="F32" s="75" t="str">
        <f>IF(F24&lt;&gt;"",VLOOKUP(F31,Schedule7,3),"")</f>
        <v/>
      </c>
      <c r="H32" s="50" t="s">
        <v>95</v>
      </c>
    </row>
    <row r="34" spans="1:15">
      <c r="A34" s="50" t="s">
        <v>96</v>
      </c>
      <c r="C34" s="76" t="str">
        <f>IF(C24&lt;&gt;"",IF(MONTH(C26)=6,"$0**",ROUND([1]Calcs!B$16*C29*C32,-1)),"")</f>
        <v/>
      </c>
      <c r="D34" s="76" t="str">
        <f>IF(D24&lt;&gt;"",IF(MONTH(D26)=6,"$0**",ROUND([1]Calcs!C$16*D29*D32,-1)),"")</f>
        <v/>
      </c>
      <c r="E34" s="76" t="str">
        <f>IF(E24&lt;&gt;"",IF(MONTH(E26)=6,"$0**",ROUND([1]Calcs!D$16*E29*E32,-1)),"")</f>
        <v/>
      </c>
      <c r="F34" s="76" t="str">
        <f>IF(F24&lt;&gt;"",IF(MONTH(F26)=6,"$0**",ROUND([1]Calcs!E$16*F29*F32,-1)),"")</f>
        <v/>
      </c>
      <c r="H34" s="50" t="s">
        <v>97</v>
      </c>
    </row>
    <row r="35" spans="1:15">
      <c r="A35" s="50" t="s">
        <v>98</v>
      </c>
      <c r="C35" s="76" t="str">
        <f>IF(C24&lt;&gt;"",ROUNDDOWN([1]Calcs!B$16*0.1,0),"")</f>
        <v/>
      </c>
      <c r="D35" s="76" t="str">
        <f>IF(D24&lt;&gt;"",ROUNDDOWN([1]Calcs!C$16*0.1,0),"")</f>
        <v/>
      </c>
      <c r="E35" s="76" t="str">
        <f>IF(E24&lt;&gt;"",ROUNDDOWN([1]Calcs!D$16*0.1,0),"")</f>
        <v/>
      </c>
      <c r="F35" s="76" t="str">
        <f>IF(F24&lt;&gt;"",ROUNDDOWN([1]Calcs!E$16*0.1,0),"")</f>
        <v/>
      </c>
      <c r="H35" s="50" t="s">
        <v>102</v>
      </c>
    </row>
    <row r="38" spans="1:15">
      <c r="A38" s="72" t="s">
        <v>103</v>
      </c>
      <c r="C38" s="51" t="str">
        <f>IF(C$7="MLP","Yes","")</f>
        <v/>
      </c>
      <c r="D38" s="51" t="str">
        <f>IF(D$7="MLP","Yes","")</f>
        <v/>
      </c>
      <c r="E38" s="51" t="str">
        <f>IF(E$7="MLP","Yes","")</f>
        <v/>
      </c>
      <c r="F38" s="51" t="str">
        <f>IF(F$7="MLP","Yes","")</f>
        <v/>
      </c>
      <c r="H38" s="50" t="s">
        <v>104</v>
      </c>
    </row>
    <row r="40" spans="1:15">
      <c r="A40" s="50" t="s">
        <v>105</v>
      </c>
      <c r="C40" s="61" t="str">
        <f>IF(C38&lt;&gt;"",IF([1]Calcs!B$14="Yes",[1]Calcs!B$15,[1]Calcs!B$20),"")</f>
        <v/>
      </c>
      <c r="D40" s="61" t="str">
        <f>IF(D38&lt;&gt;"",IF([1]Calcs!C$14="Yes",[1]Calcs!C$15,[1]Calcs!C$20),"")</f>
        <v/>
      </c>
      <c r="E40" s="61" t="str">
        <f>IF(E38&lt;&gt;"",IF([1]Calcs!D$14="Yes",[1]Calcs!D$15,[1]Calcs!D$20),"")</f>
        <v/>
      </c>
      <c r="F40" s="61" t="str">
        <f>IF(F38&lt;&gt;"",IF([1]Calcs!E$14="Yes",[1]Calcs!E$15,[1]Calcs!E$20),"")</f>
        <v/>
      </c>
      <c r="H40" s="50" t="s">
        <v>106</v>
      </c>
    </row>
    <row r="41" spans="1:15">
      <c r="A41" s="50" t="s">
        <v>107</v>
      </c>
      <c r="C41" s="61" t="str">
        <f>IF(C38&lt;&gt;"",[1]Calcs!B$21,"")</f>
        <v/>
      </c>
      <c r="D41" s="61" t="str">
        <f>IF(D38&lt;&gt;"",[1]Calcs!C$21,"")</f>
        <v/>
      </c>
      <c r="E41" s="61" t="str">
        <f>IF(E38&lt;&gt;"",[1]Calcs!D$21,"")</f>
        <v/>
      </c>
      <c r="F41" s="61" t="str">
        <f>IF(F38&lt;&gt;"",[1]Calcs!E$21,"")</f>
        <v/>
      </c>
      <c r="H41" s="50" t="s">
        <v>108</v>
      </c>
    </row>
    <row r="43" spans="1:15">
      <c r="A43" s="50" t="s">
        <v>40</v>
      </c>
      <c r="C43" s="74" t="str">
        <f>IF(C38&lt;&gt;"",YEARFRAC(C40,C41),"")</f>
        <v/>
      </c>
      <c r="D43" s="74" t="str">
        <f>IF(D38&lt;&gt;"",YEARFRAC(D40,D41),"")</f>
        <v/>
      </c>
      <c r="E43" s="74" t="str">
        <f>IF(E38&lt;&gt;"",YEARFRAC(E40,E41),"")</f>
        <v/>
      </c>
      <c r="F43" s="74" t="str">
        <f>IF(F38&lt;&gt;"",YEARFRAC(F40,F41),"")</f>
        <v/>
      </c>
      <c r="H43" s="50" t="s">
        <v>109</v>
      </c>
    </row>
    <row r="44" spans="1:15">
      <c r="A44" s="50" t="s">
        <v>110</v>
      </c>
      <c r="C44" s="77" t="str">
        <f>IF(C$38&lt;&gt;"",IF(C40&lt;[1]Calcs!$B$7,IF(MONTH(C40)&lt;7,ROUNDUP(YEARFRAC([1]Calcs!$B$7,C41),0),ROUNDDOWN(YEARFRAC([1]Calcs!$B$7,C41),0)),IF(MONTH(C40)&lt;7,ROUNDUP(YEARFRAC(C40,C41),0),ROUNDDOWN(YEARFRAC(C40,C41),0))),"")</f>
        <v/>
      </c>
      <c r="D44" s="77" t="str">
        <f>IF(D$38&lt;&gt;"",IF(D40&lt;[1]Calcs!$B$7,IF(MONTH(D40)&lt;7,ROUNDUP(YEARFRAC([1]Calcs!$B$7,D41),0),ROUNDDOWN(YEARFRAC([1]Calcs!$B$7,D41),0)),IF(MONTH(D40)&lt;7,ROUNDUP(YEARFRAC(D40,D41),0),ROUNDDOWN(YEARFRAC(D40,D41),0))),"")</f>
        <v/>
      </c>
      <c r="E44" s="77" t="str">
        <f>IF(E$38&lt;&gt;"",IF(E40&lt;[1]Calcs!$B$7,IF(MONTH(E40)&lt;7,ROUNDUP(YEARFRAC([1]Calcs!$B$7,E41),0),ROUNDDOWN(YEARFRAC([1]Calcs!$B$7,E41),0)),IF(MONTH(E40)&lt;7,ROUNDUP(YEARFRAC(E40,E41),0),ROUNDDOWN(YEARFRAC(E40,E41),0))),"")</f>
        <v/>
      </c>
      <c r="F44" s="77" t="str">
        <f>IF(F$38&lt;&gt;"",IF(F40&lt;[1]Calcs!$B$7,IF(MONTH(F40)&lt;7,ROUNDUP(YEARFRAC([1]Calcs!$B$7,F41),0),ROUNDDOWN(YEARFRAC([1]Calcs!$B$7,F41),0)),IF(MONTH(F40)&lt;7,ROUNDUP(YEARFRAC(F40,F41),0),ROUNDDOWN(YEARFRAC(F40,F41),0))),"")</f>
        <v/>
      </c>
      <c r="H44" s="50" t="s">
        <v>111</v>
      </c>
    </row>
    <row r="45" spans="1:15">
      <c r="A45" s="50" t="s">
        <v>41</v>
      </c>
      <c r="C45" s="51" t="str">
        <f>IF(C$38&lt;&gt;"",VLOOKUP(C$44,Schedule6,2,FALSE),"")</f>
        <v/>
      </c>
      <c r="D45" s="51" t="str">
        <f>IF(D38&lt;&gt;"",VLOOKUP(D44,Schedule6,2,FALSE),"")</f>
        <v/>
      </c>
      <c r="E45" s="51" t="str">
        <f>IF(E38&lt;&gt;"",VLOOKUP(E44,Schedule6,2,FALSE),"")</f>
        <v/>
      </c>
      <c r="F45" s="51" t="str">
        <f>IF(F38&lt;&gt;"",VLOOKUP(F44,Schedule6,2,FALSE),"")</f>
        <v/>
      </c>
      <c r="H45" s="50" t="s">
        <v>112</v>
      </c>
    </row>
    <row r="46" spans="1:15">
      <c r="O46" s="72"/>
    </row>
    <row r="47" spans="1:15">
      <c r="A47" s="50" t="s">
        <v>113</v>
      </c>
      <c r="C47" s="78" t="str">
        <f>IF(C38&lt;&gt;"",[1]Calcs!B$16/C$45,"")</f>
        <v/>
      </c>
      <c r="D47" s="78" t="str">
        <f>IF(D38&lt;&gt;"",[1]Calcs!C$16/D$45,"")</f>
        <v/>
      </c>
      <c r="E47" s="78" t="str">
        <f>IF(E38&lt;&gt;"",[1]Calcs!D$16/E$45,"")</f>
        <v/>
      </c>
      <c r="F47" s="78" t="str">
        <f>IF(F38&lt;&gt;"",[1]Calcs!E$16/F$45,"")</f>
        <v/>
      </c>
      <c r="H47" s="50" t="s">
        <v>114</v>
      </c>
    </row>
    <row r="48" spans="1:15" ht="15">
      <c r="A48" s="50" t="s">
        <v>115</v>
      </c>
      <c r="C48" s="79" t="str">
        <f>IF(C38&lt;&gt;"",C47 / [1]Calcs!B16,"")</f>
        <v/>
      </c>
      <c r="D48" s="79" t="str">
        <f>IF(D38&lt;&gt;"",D47 / [1]Calcs!C16,"")</f>
        <v/>
      </c>
      <c r="E48" s="79" t="str">
        <f>IF(E38&lt;&gt;"",E47 / [1]Calcs!D16,"")</f>
        <v/>
      </c>
      <c r="F48" s="79" t="str">
        <f>IF(F38&lt;&gt;"",F47 / [1]Calcs!E16,"")</f>
        <v/>
      </c>
      <c r="H48" s="80" t="s">
        <v>116</v>
      </c>
      <c r="I48" s="80"/>
      <c r="J48" s="80"/>
    </row>
    <row r="49" spans="1:15">
      <c r="A49" s="50"/>
    </row>
    <row r="50" spans="1:15">
      <c r="A50" s="50" t="s">
        <v>117</v>
      </c>
      <c r="C50" s="61" t="str">
        <f>IF(C38&lt;&gt;"",IF([1]Calcs!B14="Yes",[1]Calcs!B15,[1]Calcs!$B$7),"")</f>
        <v/>
      </c>
      <c r="D50" s="61" t="str">
        <f>IF(D38&lt;&gt;"",IF([1]Calcs!C14="Yes",[1]Calcs!C15,[1]Calcs!$B$7),"")</f>
        <v/>
      </c>
      <c r="E50" s="61" t="str">
        <f>IF(E38&lt;&gt;"",IF([1]Calcs!D14="Yes",[1]Calcs!D15,[1]Calcs!$B$7),"")</f>
        <v/>
      </c>
      <c r="F50" s="61" t="str">
        <f>IF(F38&lt;&gt;"",IF([1]Calcs!E14="Yes",[1]Calcs!E15,[1]Calcs!$B$7),"")</f>
        <v/>
      </c>
      <c r="H50" s="50" t="s">
        <v>118</v>
      </c>
    </row>
    <row r="51" spans="1:15">
      <c r="A51" s="50" t="s">
        <v>119</v>
      </c>
      <c r="C51" s="61" t="str">
        <f>IF(C38&lt;&gt;"",[1]Calcs!$B$8,"")</f>
        <v/>
      </c>
      <c r="D51" s="61" t="str">
        <f>IF(D38&lt;&gt;"",[1]Calcs!$B$8,"")</f>
        <v/>
      </c>
      <c r="E51" s="61" t="str">
        <f>IF(E38&lt;&gt;"",[1]Calcs!$B$8,"")</f>
        <v/>
      </c>
      <c r="F51" s="61" t="str">
        <f>IF(F38&lt;&gt;"",[1]Calcs!$B$8,"")</f>
        <v/>
      </c>
      <c r="H51" s="50" t="s">
        <v>120</v>
      </c>
    </row>
    <row r="52" spans="1:15">
      <c r="A52" s="50" t="s">
        <v>88</v>
      </c>
      <c r="C52" s="51" t="str">
        <f>IF(C38&lt;&gt;"",C51-C50+1,"")</f>
        <v/>
      </c>
      <c r="D52" s="51" t="str">
        <f>IF(D38&lt;&gt;"",D51-D50+1,"")</f>
        <v/>
      </c>
      <c r="E52" s="51" t="str">
        <f>IF(E38&lt;&gt;"",E51-E50+1,"")</f>
        <v/>
      </c>
      <c r="F52" s="51" t="str">
        <f>IF(F38&lt;&gt;"",F51-F50+1,"")</f>
        <v/>
      </c>
      <c r="H52" s="50" t="s">
        <v>121</v>
      </c>
    </row>
    <row r="53" spans="1:15">
      <c r="A53" s="50" t="s">
        <v>90</v>
      </c>
      <c r="C53" s="51" t="str">
        <f>IF(C38&lt;&gt;"",C$52/VLOOKUP([1]Calcs!$B$6,DaysinFY,2,FALSE),"")</f>
        <v/>
      </c>
      <c r="D53" s="51" t="str">
        <f>IF(D38&lt;&gt;"",D$52/VLOOKUP([1]Calcs!$B$6,DaysinFY,2,FALSE),"")</f>
        <v/>
      </c>
      <c r="E53" s="51" t="str">
        <f>IF(E38&lt;&gt;"",E$52/VLOOKUP([1]Calcs!$B$6,DaysinFY,2,FALSE),"")</f>
        <v/>
      </c>
      <c r="F53" s="51" t="str">
        <f>IF(F38&lt;&gt;"",F$52/VLOOKUP([1]Calcs!$B$6,DaysinFY,2,FALSE),"")</f>
        <v/>
      </c>
      <c r="H53" s="50" t="s">
        <v>122</v>
      </c>
    </row>
    <row r="55" spans="1:15">
      <c r="A55" s="50" t="s">
        <v>123</v>
      </c>
      <c r="C55" s="76" t="str">
        <f>IF(C$38&lt;&gt;"",IF(AND(MONTH(C40)=6,YEAR(C40)=RIGHT([1]Calcs!$B$6,2)+2000),"N/A",IF(C$45=1,[1]Calcs!B$16,ROUND(C$47*0.9*C$53,-1))),"")</f>
        <v/>
      </c>
      <c r="D55" s="76" t="str">
        <f>IF(D$38&lt;&gt;"",IF(AND(MONTH(D40)=6,YEAR(D40)=RIGHT([1]Calcs!$B$6,2)+2000),"N/A",IF(D$45=1,[1]Calcs!C$16,ROUND(D$47*0.9*D$53,-1))),"")</f>
        <v/>
      </c>
      <c r="E55" s="76" t="str">
        <f>IF(E$38&lt;&gt;"",IF(AND(MONTH(E40)=6,YEAR(E40)=RIGHT([1]Calcs!$B$6,2)+2000),"N/A",IF(E$45=1,[1]Calcs!D$16,ROUND(E$47*0.9*E$53,-1))),"")</f>
        <v/>
      </c>
      <c r="F55" s="76" t="str">
        <f>IF(F$38&lt;&gt;"",IF(AND(MONTH(F40)=6,YEAR(F40)=RIGHT([1]Calcs!$B$6,2)+2000),"N/A",IF(F$45=1,[1]Calcs!E$16,ROUND(F$47*0.9*F$53,-1))),"")</f>
        <v/>
      </c>
      <c r="H55" s="50" t="s">
        <v>124</v>
      </c>
    </row>
    <row r="56" spans="1:15">
      <c r="A56" s="50" t="s">
        <v>125</v>
      </c>
      <c r="C56" s="76" t="str">
        <f>IF(C$38&lt;&gt;"",IF(C45=1,[1]Calcs!B$16,ROUND(C$47*1.1*C$53,-1)),"")</f>
        <v/>
      </c>
      <c r="D56" s="76" t="str">
        <f>IF(D$38&lt;&gt;"",IF(D45=1,[1]Calcs!C$16,ROUND(D$47*1.1*D$53,-1)),"")</f>
        <v/>
      </c>
      <c r="E56" s="76" t="str">
        <f>IF(E$38&lt;&gt;"",IF(E45=1,[1]Calcs!D$16,ROUND(E$47*1.1*E$53,-1)),"")</f>
        <v/>
      </c>
      <c r="F56" s="76" t="str">
        <f>IF(F$38&lt;&gt;"",IF(F45=1,[1]Calcs!E$16,ROUND(F$47*1.1*F$53,-1)),"")</f>
        <v/>
      </c>
      <c r="H56" s="50" t="s">
        <v>126</v>
      </c>
    </row>
    <row r="59" spans="1:15">
      <c r="A59" s="81" t="s">
        <v>127</v>
      </c>
    </row>
    <row r="61" spans="1:15">
      <c r="A61" s="50" t="s">
        <v>92</v>
      </c>
      <c r="C61" s="74" t="str">
        <f>IF(C38&lt;&gt;"",YEARFRAC([1]Calcs!B$12,C50),"")</f>
        <v/>
      </c>
      <c r="D61" s="74" t="str">
        <f>IF(D38&lt;&gt;"",YEARFRAC([1]Calcs!C$12,D50),"")</f>
        <v/>
      </c>
      <c r="E61" s="74" t="str">
        <f>IF(E38&lt;&gt;"",YEARFRAC([1]Calcs!D$12,E50),"")</f>
        <v/>
      </c>
      <c r="F61" s="74" t="str">
        <f>IF(F38&lt;&gt;"",YEARFRAC([1]Calcs!E$12,F50),"")</f>
        <v/>
      </c>
      <c r="H61" s="50" t="s">
        <v>93</v>
      </c>
      <c r="O61" s="50"/>
    </row>
    <row r="62" spans="1:15">
      <c r="A62" s="50" t="s">
        <v>94</v>
      </c>
      <c r="C62" s="82" t="str">
        <f>IF(C38&lt;&gt;"",VLOOKUP(C61,Schedule7,3),"")</f>
        <v/>
      </c>
      <c r="D62" s="82" t="str">
        <f>IF(D38&lt;&gt;"",VLOOKUP(D61,Schedule7,3),"")</f>
        <v/>
      </c>
      <c r="E62" s="82" t="str">
        <f>IF(E38&lt;&gt;"",VLOOKUP(E61,Schedule7,3),"")</f>
        <v/>
      </c>
      <c r="F62" s="82" t="str">
        <f>IF(F38&lt;&gt;"",VLOOKUP(F61,Schedule7,3),"")</f>
        <v/>
      </c>
      <c r="H62" s="50" t="s">
        <v>95</v>
      </c>
      <c r="O62" s="50"/>
    </row>
    <row r="63" spans="1:15">
      <c r="A63" s="50"/>
      <c r="C63" s="82"/>
      <c r="D63" s="82"/>
      <c r="E63" s="82"/>
      <c r="F63" s="82"/>
      <c r="H63" s="50"/>
      <c r="O63" s="50"/>
    </row>
    <row r="64" spans="1:15">
      <c r="A64" s="50" t="s">
        <v>128</v>
      </c>
      <c r="C64" s="83" t="str">
        <f>IF(C38&lt;&gt;"",IF([1]Calcs!B$17="Yes",[1]Calcs!B$18,[1]Calcs!$B$8),"")</f>
        <v/>
      </c>
      <c r="D64" s="83" t="str">
        <f>IF(D38&lt;&gt;"",IF([1]Calcs!C$17="Yes",[1]Calcs!C$18,[1]Calcs!$B$8),"")</f>
        <v/>
      </c>
      <c r="E64" s="83" t="str">
        <f>IF(E38&lt;&gt;"",IF([1]Calcs!D$17="Yes",[1]Calcs!D$18,[1]Calcs!$B$8),"")</f>
        <v/>
      </c>
      <c r="F64" s="83" t="str">
        <f>IF(F38&lt;&gt;"",IF([1]Calcs!E$17="Yes",[1]Calcs!E$18,[1]Calcs!$B$8),"")</f>
        <v/>
      </c>
      <c r="H64" s="50" t="s">
        <v>129</v>
      </c>
      <c r="O64" s="50"/>
    </row>
    <row r="65" spans="1:16">
      <c r="A65" s="50" t="s">
        <v>130</v>
      </c>
      <c r="C65" s="77" t="str">
        <f>IF(C38&lt;&gt;"",C64-C50+1,"")</f>
        <v/>
      </c>
      <c r="D65" s="77" t="str">
        <f>IF(D38&lt;&gt;"",D64-D50+1,"")</f>
        <v/>
      </c>
      <c r="E65" s="77" t="str">
        <f>IF(E38&lt;&gt;"",E64-E50+1,"")</f>
        <v/>
      </c>
      <c r="F65" s="77" t="str">
        <f>IF(F38&lt;&gt;"",F64-F50+1,"")</f>
        <v/>
      </c>
      <c r="H65" s="50" t="s">
        <v>131</v>
      </c>
      <c r="O65" s="50"/>
    </row>
    <row r="66" spans="1:16">
      <c r="A66" s="50" t="s">
        <v>132</v>
      </c>
      <c r="C66" s="51" t="str">
        <f>IF(C38&lt;&gt;"",C$65/VLOOKUP([1]Calcs!$B$6,DaysinFY,2,FALSE),"")</f>
        <v/>
      </c>
      <c r="D66" s="51" t="str">
        <f>IF(D38&lt;&gt;"",D$65/VLOOKUP([1]Calcs!$B$6,DaysinFY,2,FALSE),"")</f>
        <v/>
      </c>
      <c r="E66" s="51" t="str">
        <f>IF(E38&lt;&gt;"",E$65/VLOOKUP([1]Calcs!$B$6,DaysinFY,2,FALSE),"")</f>
        <v/>
      </c>
      <c r="F66" s="51" t="str">
        <f>IF(F38&lt;&gt;"",F$65/VLOOKUP([1]Calcs!$B$6,DaysinFY,2,FALSE),"")</f>
        <v/>
      </c>
      <c r="H66" s="50" t="s">
        <v>133</v>
      </c>
      <c r="P66" s="61"/>
    </row>
    <row r="67" spans="1:16">
      <c r="P67" s="61"/>
    </row>
    <row r="68" spans="1:16">
      <c r="A68" s="50" t="s">
        <v>134</v>
      </c>
      <c r="C68" s="84" t="str">
        <f>IF(C38&lt;&gt;"",IF(AND(MONTH(C40)=6,YEAR(C40)=RIGHT([1]Calcs!$B$6,2)+2000),"N/A",ROUND([1]Calcs!B$16*C62*C66,-1)),"")</f>
        <v/>
      </c>
      <c r="D68" s="84" t="str">
        <f>IF(D38&lt;&gt;"",IF(AND(MONTH(D40)=6,YEAR(D40)=RIGHT([1]Calcs!$B$6,2)+2000),"N/A",ROUND([1]Calcs!C$16*D62*D66,-1)),"")</f>
        <v/>
      </c>
      <c r="E68" s="84" t="str">
        <f>IF(E38&lt;&gt;"",IF(AND(MONTH(E40)=6,YEAR(E40)=RIGHT([1]Calcs!$B$6,2)+2000),"N/A",ROUND([1]Calcs!D$16*E62*E66,-1)),"")</f>
        <v/>
      </c>
      <c r="F68" s="84" t="str">
        <f>IF(F38&lt;&gt;"",IF(AND(MONTH(F40)=6,YEAR(F40)=RIGHT([1]Calcs!$B$6,2)+2000),"N/A",ROUND([1]Calcs!E$16*F62*F66,-1)),"")</f>
        <v/>
      </c>
      <c r="H68" s="50" t="s">
        <v>135</v>
      </c>
    </row>
    <row r="69" spans="1:16">
      <c r="A69" s="50" t="s">
        <v>136</v>
      </c>
      <c r="C69" s="75" t="str">
        <f>IF(C38&lt;&gt;"",IF(OR(C55="N/A",C68="N/A"),"No",IF(C40&gt;=MLPABPdate,IF(C56-C68&gt;=0,"No","Yes"),"No")),"")</f>
        <v/>
      </c>
      <c r="D69" s="75" t="str">
        <f>IF(D38&lt;&gt;"",IF(OR(D55="N/A",D68="N/A"),"No",IF(D40&gt;=MLPABPdate,IF(D56-D68&gt;=0,"No","Yes"),"No")),"")</f>
        <v/>
      </c>
      <c r="E69" s="75" t="str">
        <f>IF(E38&lt;&gt;"",IF(OR(E55="N/A",E68="N/A"),"No",IF(E40&gt;=MLPABPdate,IF(E56-E68&gt;=0,"No","Yes"),"No")),"")</f>
        <v/>
      </c>
      <c r="F69" s="75" t="str">
        <f>IF(F38&lt;&gt;"",IF(OR(F55="N/A",F68="N/A"),"No",IF(F40&gt;=MLPABPdate,IF(F56-F68&gt;=0,"No","Yes"),"No")),"")</f>
        <v/>
      </c>
      <c r="H69" s="50" t="s">
        <v>137</v>
      </c>
    </row>
    <row r="70" spans="1:16">
      <c r="A70" s="50" t="s">
        <v>138</v>
      </c>
      <c r="C70" s="75" t="str">
        <f>IF(C38&lt;&gt;"",IF(OR(C55="N/A",C68="N/A"),"No",IF(C40&gt;=MLPABPdate,IF(C55-C68&gt;=0,"No","Yes"),"No")),"")</f>
        <v/>
      </c>
      <c r="D70" s="75" t="str">
        <f>IF(D38&lt;&gt;"",IF(OR(D55="N/A",D68="N/A"),"No",IF(D40&gt;=MLPABPdate,IF(D55-D68&gt;=0,"No","Yes"),"No")),"")</f>
        <v/>
      </c>
      <c r="E70" s="75" t="str">
        <f>IF(E38&lt;&gt;"",IF(OR(E55="N/A",E68="N/A"),"No",IF(E40&gt;=MLPABPdate,IF(E55-E68&gt;=0,"No","Yes"),"No")),"")</f>
        <v/>
      </c>
      <c r="F70" s="75" t="str">
        <f>IF(F38&lt;&gt;"",IF(OR(F55="N/A",F68="N/A"),"No",IF(F40&gt;=MLPABPdate,IF(F55-F68&gt;=0,"No","Yes"),"No")),"")</f>
        <v/>
      </c>
      <c r="H70" s="50" t="s">
        <v>139</v>
      </c>
    </row>
    <row r="74" spans="1:16">
      <c r="A74" s="72" t="s">
        <v>140</v>
      </c>
    </row>
    <row r="76" spans="1:16">
      <c r="A76" s="50" t="s">
        <v>141</v>
      </c>
      <c r="C76" s="85" t="b">
        <f>IF(C18&lt;&gt;"",C18,IF(C32&lt;&gt;"",C32,IF(C48&lt;&gt;"",IF(C70="Yes",C62,C48*0.9))))</f>
        <v>0</v>
      </c>
      <c r="D76" s="85" t="b">
        <f>IF(D18&lt;&gt;"",D18,IF(D32&lt;&gt;"",D32,IF(D48&lt;&gt;"",IF(D70="Yes",D62,D48*0.9))))</f>
        <v>0</v>
      </c>
      <c r="E76" s="85" t="b">
        <f>IF(E18&lt;&gt;"",E18,IF(E32&lt;&gt;"",E32,IF(E48&lt;&gt;"",IF(E70="Yes",E62,E48*0.9))))</f>
        <v>0</v>
      </c>
      <c r="F76" s="85" t="b">
        <f>IF(F18&lt;&gt;"",F18,IF(F32&lt;&gt;"",F32,IF(F48&lt;&gt;"",IF(F70="Yes",F62,F48*0.9))))</f>
        <v>0</v>
      </c>
      <c r="H76" s="86"/>
    </row>
    <row r="77" spans="1:16">
      <c r="A77" s="50" t="s">
        <v>142</v>
      </c>
      <c r="C77" s="84" t="b">
        <f>IF(C20&lt;&gt;"",IF(MONTH(C12)=6,"$0**",[1]Calcs!B16 * C76),IF(C34&lt;&gt;"",IF(MONTH(C26)=6,"$0**",[1]Calcs!B16*C76),IF(C47&lt;&gt;"",IF(OR(C55="N/A",C68="N/A"),"$0**",IF(C69="Yes","****",IF(C70="Yes",ROUND([1]Calcs!B16*C62,0)&amp;"***",C47*0.9))))))</f>
        <v>0</v>
      </c>
      <c r="D77" s="84" t="b">
        <f>IF(D20&lt;&gt;"",IF(MONTH(D12)=6,"$0**",[1]Calcs!C16 * D76),IF(D34&lt;&gt;"",IF(MONTH(D26)=6,"$0**",[1]Calcs!C16*D76),IF(D47&lt;&gt;"",IF(OR(D55="N/A",D68="N/A"),"$0**",IF(D69="Yes","****",IF(D70="Yes",ROUND([1]Calcs!C16*D62,0)&amp;"***",D47*0.9))))))</f>
        <v>0</v>
      </c>
      <c r="E77" s="84" t="b">
        <f>IF(E20&lt;&gt;"",IF(MONTH(E12)=6,"$0**",[1]Calcs!D16 * E76),IF(E34&lt;&gt;"",IF(MONTH(E26)=6,"$0**",[1]Calcs!D16*E76),IF(E47&lt;&gt;"",IF(OR(E55="N/A",E68="N/A"),"$0**",IF(E69="Yes","****",IF(E70="Yes",ROUND([1]Calcs!D16*E62,0)&amp;"***",E47*0.9))))))</f>
        <v>0</v>
      </c>
      <c r="F77" s="84" t="b">
        <f>IF(F20&lt;&gt;"",IF(MONTH(F12)=6,"$0**",[1]Calcs!E16 * F76),IF(F34&lt;&gt;"",IF(MONTH(F26)=6,"$0**",[1]Calcs!E16*F76),IF(F47&lt;&gt;"",IF(OR(F55="N/A",F68="N/A"),"$0**",IF(F69="Yes","****",IF(F70="Yes",ROUND([1]Calcs!E16*F62,0)&amp;"***",F47*0.9))))))</f>
        <v>0</v>
      </c>
      <c r="H77" s="86"/>
    </row>
    <row r="78" spans="1:16">
      <c r="A78" s="50" t="s">
        <v>143</v>
      </c>
      <c r="C78" s="74" t="str">
        <f>IF(C21&lt;&gt;"",C21,IF(C35&lt;&gt;"",0.1,IF(C48&lt;&gt;"",C48*1.1,"")))</f>
        <v/>
      </c>
      <c r="D78" s="74" t="str">
        <f>IF(D21&lt;&gt;"",D21,IF(D35&lt;&gt;"",0.1,IF(D48&lt;&gt;"",D48*1.1,"")))</f>
        <v/>
      </c>
      <c r="E78" s="74" t="str">
        <f>IF(E21&lt;&gt;"",E21,IF(E35&lt;&gt;"",0.1,IF(E48&lt;&gt;"",E48*1.1,"")))</f>
        <v/>
      </c>
      <c r="F78" s="74" t="str">
        <f>IF(F21&lt;&gt;"",F21,IF(F35&lt;&gt;"",0.1,IF(F48&lt;&gt;"",F48*1.1,"")))</f>
        <v/>
      </c>
      <c r="H78" s="86"/>
    </row>
    <row r="79" spans="1:16">
      <c r="A79" s="50" t="s">
        <v>144</v>
      </c>
      <c r="C79" s="76" t="b">
        <f>IF(C21&lt;&gt;"",[1]Calcs!B16 * C78,IF(C35&lt;&gt;"",[1]Calcs!B16*C78,IF(C47&lt;&gt;"",IF(C69="Yes","****",C47*1.1))))</f>
        <v>0</v>
      </c>
      <c r="D79" s="76" t="b">
        <f>IF(D21&lt;&gt;"",[1]Calcs!C16 * D78,IF(D35&lt;&gt;"",[1]Calcs!C16*D78,IF(D47&lt;&gt;"",IF(D69="Yes","****",D47*1.1))))</f>
        <v>0</v>
      </c>
      <c r="E79" s="76" t="b">
        <f>IF(E21&lt;&gt;"",[1]Calcs!D16 * E78,IF(E35&lt;&gt;"",[1]Calcs!D16*E78,IF(E47&lt;&gt;"",IF(E69="Yes","****",E47*1.1))))</f>
        <v>0</v>
      </c>
      <c r="F79" s="76" t="b">
        <f>IF(F21&lt;&gt;"",[1]Calcs!E16 * F78,IF(F35&lt;&gt;"",[1]Calcs!E16*F78,IF(F47&lt;&gt;"",IF(F69="Yes","****",F47*1.1))))</f>
        <v>0</v>
      </c>
    </row>
    <row r="81" spans="1:8">
      <c r="A81" s="50" t="s">
        <v>88</v>
      </c>
      <c r="C81" s="78" t="str">
        <f>IF(C14&lt;&gt;"",C14,IF(C28&lt;&gt;"",C28,IF(C52&lt;&gt;"",IF(AND(C69="No",C70="Yes"),C65,C52),"")))</f>
        <v/>
      </c>
      <c r="D81" s="78" t="str">
        <f>IF(D14&lt;&gt;"",D14,IF(D28&lt;&gt;"",D28,IF(D52&lt;&gt;"",IF(AND(D69="No",D70="Yes"),D65,D52),"")))</f>
        <v/>
      </c>
      <c r="E81" s="78" t="str">
        <f>IF(E14&lt;&gt;"",E14,IF(E28&lt;&gt;"",E28,IF(E52&lt;&gt;"",IF(AND(E69="No",E70="Yes"),E65,E52),"")))</f>
        <v/>
      </c>
      <c r="F81" s="78" t="str">
        <f>IF(F14&lt;&gt;"",F14,IF(F28&lt;&gt;"",F28,IF(F52&lt;&gt;"",IF(AND(F69="No",F70="Yes"),F65,F52),"")))</f>
        <v/>
      </c>
    </row>
    <row r="82" spans="1:8">
      <c r="A82" s="50" t="s">
        <v>90</v>
      </c>
      <c r="C82" s="73" t="str">
        <f>IF(C15&lt;&gt;"",C15,IF(C29&lt;&gt;"",C29,IF(C53&lt;&gt;"",IF(AND(C69="No",C70="Yes"),C66,C53),"")))</f>
        <v/>
      </c>
      <c r="D82" s="73" t="str">
        <f>IF(D15&lt;&gt;"",D15,IF(D29&lt;&gt;"",D29,IF(D53&lt;&gt;"",IF(AND(D69="No",D70="Yes"),D66,D53),"")))</f>
        <v/>
      </c>
      <c r="E82" s="73" t="str">
        <f>IF(E15&lt;&gt;"",E15,IF(E29&lt;&gt;"",E29,IF(E53&lt;&gt;"",IF(AND(E69="No",E70="Yes"),E66,E53),"")))</f>
        <v/>
      </c>
      <c r="F82" s="73" t="str">
        <f>IF(F15&lt;&gt;"",F15,IF(F29&lt;&gt;"",F29,IF(F53&lt;&gt;"",IF(AND(F69="No",F70="Yes"),F66,F53),"")))</f>
        <v/>
      </c>
    </row>
    <row r="84" spans="1:8">
      <c r="A84" s="50" t="s">
        <v>145</v>
      </c>
      <c r="C84" s="84" t="str">
        <f>IF(C20&lt;&gt;"",C20,IF(C34&lt;&gt;"",C34,IF(C55&lt;&gt;"",IF(OR(C55="N/A",C68="N/A"),"$0**",IF(C69="No",MAX(C55,C68),"****")),"")))</f>
        <v/>
      </c>
      <c r="D84" s="76" t="str">
        <f>IF(D20&lt;&gt;"",D20,IF(D34&lt;&gt;"",D34,IF(D55&lt;&gt;"",IF(OR(D55="N/A",D68="N/A"),"$0**",IF(D69="No",MAX(D55,D68),"****")),"")))</f>
        <v/>
      </c>
      <c r="E84" s="76" t="str">
        <f>IF(E20&lt;&gt;"",E20,IF(E34&lt;&gt;"",E34,IF(E55&lt;&gt;"",IF(OR(E55="N/A",E68="N/A"),"$0**",IF(E69="No",MAX(E55,E68),"****")),"")))</f>
        <v/>
      </c>
      <c r="F84" s="76" t="str">
        <f>IF(F20&lt;&gt;"",F20,IF(F34&lt;&gt;"",F34,IF(F55&lt;&gt;"",IF(OR(F55="N/A",F68="N/A"),"$0**",IF(F69="No",MAX(F55,F68),"****")),"")))</f>
        <v/>
      </c>
      <c r="H84" s="50" t="s">
        <v>146</v>
      </c>
    </row>
    <row r="85" spans="1:8">
      <c r="A85" s="50" t="s">
        <v>147</v>
      </c>
      <c r="C85" s="76" t="str">
        <f>IF(C21&lt;&gt;"",C21,IF(C35&lt;&gt;"",C35,IF(C56&lt;&gt;"",IF(C69="No",C56,"****"),"")))</f>
        <v/>
      </c>
      <c r="D85" s="76" t="str">
        <f>IF(D21&lt;&gt;"",D21,IF(D35&lt;&gt;"",D35,IF(D56&lt;&gt;"",IF(D69="No",D56,"****"),"")))</f>
        <v/>
      </c>
      <c r="E85" s="76" t="str">
        <f>IF(E21&lt;&gt;"",E21,IF(E35&lt;&gt;"",E35,IF(E56&lt;&gt;"",IF(E69="No",E56,"****"),"")))</f>
        <v/>
      </c>
      <c r="F85" s="76" t="str">
        <f>IF(F21&lt;&gt;"",F21,IF(F35&lt;&gt;"",F35,IF(F56&lt;&gt;"",IF(F69="No",F56,"****"),"")))</f>
        <v/>
      </c>
      <c r="H85" s="50" t="s">
        <v>148</v>
      </c>
    </row>
    <row r="87" spans="1:8">
      <c r="C87" s="51" t="str">
        <f>IF(C85="****","Pension 1, ","")</f>
        <v/>
      </c>
      <c r="D87" s="51" t="str">
        <f>IF(D85="****","Pension 1","")</f>
        <v/>
      </c>
      <c r="E87" s="51" t="str">
        <f>IF(E85="****","Pension 1","")</f>
        <v/>
      </c>
      <c r="F87" s="51" t="str">
        <f>IF(F85="****","Pension 1","")</f>
        <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2:G87"/>
  <sheetViews>
    <sheetView workbookViewId="0">
      <selection activeCell="D16" sqref="D16"/>
    </sheetView>
  </sheetViews>
  <sheetFormatPr defaultRowHeight="12.75"/>
  <cols>
    <col min="1" max="1" width="25.42578125" style="51" customWidth="1"/>
    <col min="2" max="2" width="26.140625" style="51" bestFit="1" customWidth="1"/>
    <col min="3" max="3" width="16.42578125" style="51" bestFit="1" customWidth="1"/>
    <col min="4" max="5" width="9.140625" style="51"/>
    <col min="6" max="6" width="10.140625" style="51" bestFit="1" customWidth="1"/>
    <col min="7" max="256" width="9.140625" style="51"/>
    <col min="257" max="257" width="25.42578125" style="51" customWidth="1"/>
    <col min="258" max="258" width="26.140625" style="51" bestFit="1" customWidth="1"/>
    <col min="259" max="259" width="16.42578125" style="51" bestFit="1" customWidth="1"/>
    <col min="260" max="261" width="9.140625" style="51"/>
    <col min="262" max="262" width="10.140625" style="51" bestFit="1" customWidth="1"/>
    <col min="263" max="512" width="9.140625" style="51"/>
    <col min="513" max="513" width="25.42578125" style="51" customWidth="1"/>
    <col min="514" max="514" width="26.140625" style="51" bestFit="1" customWidth="1"/>
    <col min="515" max="515" width="16.42578125" style="51" bestFit="1" customWidth="1"/>
    <col min="516" max="517" width="9.140625" style="51"/>
    <col min="518" max="518" width="10.140625" style="51" bestFit="1" customWidth="1"/>
    <col min="519" max="768" width="9.140625" style="51"/>
    <col min="769" max="769" width="25.42578125" style="51" customWidth="1"/>
    <col min="770" max="770" width="26.140625" style="51" bestFit="1" customWidth="1"/>
    <col min="771" max="771" width="16.42578125" style="51" bestFit="1" customWidth="1"/>
    <col min="772" max="773" width="9.140625" style="51"/>
    <col min="774" max="774" width="10.140625" style="51" bestFit="1" customWidth="1"/>
    <col min="775" max="1024" width="9.140625" style="51"/>
    <col min="1025" max="1025" width="25.42578125" style="51" customWidth="1"/>
    <col min="1026" max="1026" width="26.140625" style="51" bestFit="1" customWidth="1"/>
    <col min="1027" max="1027" width="16.42578125" style="51" bestFit="1" customWidth="1"/>
    <col min="1028" max="1029" width="9.140625" style="51"/>
    <col min="1030" max="1030" width="10.140625" style="51" bestFit="1" customWidth="1"/>
    <col min="1031" max="1280" width="9.140625" style="51"/>
    <col min="1281" max="1281" width="25.42578125" style="51" customWidth="1"/>
    <col min="1282" max="1282" width="26.140625" style="51" bestFit="1" customWidth="1"/>
    <col min="1283" max="1283" width="16.42578125" style="51" bestFit="1" customWidth="1"/>
    <col min="1284" max="1285" width="9.140625" style="51"/>
    <col min="1286" max="1286" width="10.140625" style="51" bestFit="1" customWidth="1"/>
    <col min="1287" max="1536" width="9.140625" style="51"/>
    <col min="1537" max="1537" width="25.42578125" style="51" customWidth="1"/>
    <col min="1538" max="1538" width="26.140625" style="51" bestFit="1" customWidth="1"/>
    <col min="1539" max="1539" width="16.42578125" style="51" bestFit="1" customWidth="1"/>
    <col min="1540" max="1541" width="9.140625" style="51"/>
    <col min="1542" max="1542" width="10.140625" style="51" bestFit="1" customWidth="1"/>
    <col min="1543" max="1792" width="9.140625" style="51"/>
    <col min="1793" max="1793" width="25.42578125" style="51" customWidth="1"/>
    <col min="1794" max="1794" width="26.140625" style="51" bestFit="1" customWidth="1"/>
    <col min="1795" max="1795" width="16.42578125" style="51" bestFit="1" customWidth="1"/>
    <col min="1796" max="1797" width="9.140625" style="51"/>
    <col min="1798" max="1798" width="10.140625" style="51" bestFit="1" customWidth="1"/>
    <col min="1799" max="2048" width="9.140625" style="51"/>
    <col min="2049" max="2049" width="25.42578125" style="51" customWidth="1"/>
    <col min="2050" max="2050" width="26.140625" style="51" bestFit="1" customWidth="1"/>
    <col min="2051" max="2051" width="16.42578125" style="51" bestFit="1" customWidth="1"/>
    <col min="2052" max="2053" width="9.140625" style="51"/>
    <col min="2054" max="2054" width="10.140625" style="51" bestFit="1" customWidth="1"/>
    <col min="2055" max="2304" width="9.140625" style="51"/>
    <col min="2305" max="2305" width="25.42578125" style="51" customWidth="1"/>
    <col min="2306" max="2306" width="26.140625" style="51" bestFit="1" customWidth="1"/>
    <col min="2307" max="2307" width="16.42578125" style="51" bestFit="1" customWidth="1"/>
    <col min="2308" max="2309" width="9.140625" style="51"/>
    <col min="2310" max="2310" width="10.140625" style="51" bestFit="1" customWidth="1"/>
    <col min="2311" max="2560" width="9.140625" style="51"/>
    <col min="2561" max="2561" width="25.42578125" style="51" customWidth="1"/>
    <col min="2562" max="2562" width="26.140625" style="51" bestFit="1" customWidth="1"/>
    <col min="2563" max="2563" width="16.42578125" style="51" bestFit="1" customWidth="1"/>
    <col min="2564" max="2565" width="9.140625" style="51"/>
    <col min="2566" max="2566" width="10.140625" style="51" bestFit="1" customWidth="1"/>
    <col min="2567" max="2816" width="9.140625" style="51"/>
    <col min="2817" max="2817" width="25.42578125" style="51" customWidth="1"/>
    <col min="2818" max="2818" width="26.140625" style="51" bestFit="1" customWidth="1"/>
    <col min="2819" max="2819" width="16.42578125" style="51" bestFit="1" customWidth="1"/>
    <col min="2820" max="2821" width="9.140625" style="51"/>
    <col min="2822" max="2822" width="10.140625" style="51" bestFit="1" customWidth="1"/>
    <col min="2823" max="3072" width="9.140625" style="51"/>
    <col min="3073" max="3073" width="25.42578125" style="51" customWidth="1"/>
    <col min="3074" max="3074" width="26.140625" style="51" bestFit="1" customWidth="1"/>
    <col min="3075" max="3075" width="16.42578125" style="51" bestFit="1" customWidth="1"/>
    <col min="3076" max="3077" width="9.140625" style="51"/>
    <col min="3078" max="3078" width="10.140625" style="51" bestFit="1" customWidth="1"/>
    <col min="3079" max="3328" width="9.140625" style="51"/>
    <col min="3329" max="3329" width="25.42578125" style="51" customWidth="1"/>
    <col min="3330" max="3330" width="26.140625" style="51" bestFit="1" customWidth="1"/>
    <col min="3331" max="3331" width="16.42578125" style="51" bestFit="1" customWidth="1"/>
    <col min="3332" max="3333" width="9.140625" style="51"/>
    <col min="3334" max="3334" width="10.140625" style="51" bestFit="1" customWidth="1"/>
    <col min="3335" max="3584" width="9.140625" style="51"/>
    <col min="3585" max="3585" width="25.42578125" style="51" customWidth="1"/>
    <col min="3586" max="3586" width="26.140625" style="51" bestFit="1" customWidth="1"/>
    <col min="3587" max="3587" width="16.42578125" style="51" bestFit="1" customWidth="1"/>
    <col min="3588" max="3589" width="9.140625" style="51"/>
    <col min="3590" max="3590" width="10.140625" style="51" bestFit="1" customWidth="1"/>
    <col min="3591" max="3840" width="9.140625" style="51"/>
    <col min="3841" max="3841" width="25.42578125" style="51" customWidth="1"/>
    <col min="3842" max="3842" width="26.140625" style="51" bestFit="1" customWidth="1"/>
    <col min="3843" max="3843" width="16.42578125" style="51" bestFit="1" customWidth="1"/>
    <col min="3844" max="3845" width="9.140625" style="51"/>
    <col min="3846" max="3846" width="10.140625" style="51" bestFit="1" customWidth="1"/>
    <col min="3847" max="4096" width="9.140625" style="51"/>
    <col min="4097" max="4097" width="25.42578125" style="51" customWidth="1"/>
    <col min="4098" max="4098" width="26.140625" style="51" bestFit="1" customWidth="1"/>
    <col min="4099" max="4099" width="16.42578125" style="51" bestFit="1" customWidth="1"/>
    <col min="4100" max="4101" width="9.140625" style="51"/>
    <col min="4102" max="4102" width="10.140625" style="51" bestFit="1" customWidth="1"/>
    <col min="4103" max="4352" width="9.140625" style="51"/>
    <col min="4353" max="4353" width="25.42578125" style="51" customWidth="1"/>
    <col min="4354" max="4354" width="26.140625" style="51" bestFit="1" customWidth="1"/>
    <col min="4355" max="4355" width="16.42578125" style="51" bestFit="1" customWidth="1"/>
    <col min="4356" max="4357" width="9.140625" style="51"/>
    <col min="4358" max="4358" width="10.140625" style="51" bestFit="1" customWidth="1"/>
    <col min="4359" max="4608" width="9.140625" style="51"/>
    <col min="4609" max="4609" width="25.42578125" style="51" customWidth="1"/>
    <col min="4610" max="4610" width="26.140625" style="51" bestFit="1" customWidth="1"/>
    <col min="4611" max="4611" width="16.42578125" style="51" bestFit="1" customWidth="1"/>
    <col min="4612" max="4613" width="9.140625" style="51"/>
    <col min="4614" max="4614" width="10.140625" style="51" bestFit="1" customWidth="1"/>
    <col min="4615" max="4864" width="9.140625" style="51"/>
    <col min="4865" max="4865" width="25.42578125" style="51" customWidth="1"/>
    <col min="4866" max="4866" width="26.140625" style="51" bestFit="1" customWidth="1"/>
    <col min="4867" max="4867" width="16.42578125" style="51" bestFit="1" customWidth="1"/>
    <col min="4868" max="4869" width="9.140625" style="51"/>
    <col min="4870" max="4870" width="10.140625" style="51" bestFit="1" customWidth="1"/>
    <col min="4871" max="5120" width="9.140625" style="51"/>
    <col min="5121" max="5121" width="25.42578125" style="51" customWidth="1"/>
    <col min="5122" max="5122" width="26.140625" style="51" bestFit="1" customWidth="1"/>
    <col min="5123" max="5123" width="16.42578125" style="51" bestFit="1" customWidth="1"/>
    <col min="5124" max="5125" width="9.140625" style="51"/>
    <col min="5126" max="5126" width="10.140625" style="51" bestFit="1" customWidth="1"/>
    <col min="5127" max="5376" width="9.140625" style="51"/>
    <col min="5377" max="5377" width="25.42578125" style="51" customWidth="1"/>
    <col min="5378" max="5378" width="26.140625" style="51" bestFit="1" customWidth="1"/>
    <col min="5379" max="5379" width="16.42578125" style="51" bestFit="1" customWidth="1"/>
    <col min="5380" max="5381" width="9.140625" style="51"/>
    <col min="5382" max="5382" width="10.140625" style="51" bestFit="1" customWidth="1"/>
    <col min="5383" max="5632" width="9.140625" style="51"/>
    <col min="5633" max="5633" width="25.42578125" style="51" customWidth="1"/>
    <col min="5634" max="5634" width="26.140625" style="51" bestFit="1" customWidth="1"/>
    <col min="5635" max="5635" width="16.42578125" style="51" bestFit="1" customWidth="1"/>
    <col min="5636" max="5637" width="9.140625" style="51"/>
    <col min="5638" max="5638" width="10.140625" style="51" bestFit="1" customWidth="1"/>
    <col min="5639" max="5888" width="9.140625" style="51"/>
    <col min="5889" max="5889" width="25.42578125" style="51" customWidth="1"/>
    <col min="5890" max="5890" width="26.140625" style="51" bestFit="1" customWidth="1"/>
    <col min="5891" max="5891" width="16.42578125" style="51" bestFit="1" customWidth="1"/>
    <col min="5892" max="5893" width="9.140625" style="51"/>
    <col min="5894" max="5894" width="10.140625" style="51" bestFit="1" customWidth="1"/>
    <col min="5895" max="6144" width="9.140625" style="51"/>
    <col min="6145" max="6145" width="25.42578125" style="51" customWidth="1"/>
    <col min="6146" max="6146" width="26.140625" style="51" bestFit="1" customWidth="1"/>
    <col min="6147" max="6147" width="16.42578125" style="51" bestFit="1" customWidth="1"/>
    <col min="6148" max="6149" width="9.140625" style="51"/>
    <col min="6150" max="6150" width="10.140625" style="51" bestFit="1" customWidth="1"/>
    <col min="6151" max="6400" width="9.140625" style="51"/>
    <col min="6401" max="6401" width="25.42578125" style="51" customWidth="1"/>
    <col min="6402" max="6402" width="26.140625" style="51" bestFit="1" customWidth="1"/>
    <col min="6403" max="6403" width="16.42578125" style="51" bestFit="1" customWidth="1"/>
    <col min="6404" max="6405" width="9.140625" style="51"/>
    <col min="6406" max="6406" width="10.140625" style="51" bestFit="1" customWidth="1"/>
    <col min="6407" max="6656" width="9.140625" style="51"/>
    <col min="6657" max="6657" width="25.42578125" style="51" customWidth="1"/>
    <col min="6658" max="6658" width="26.140625" style="51" bestFit="1" customWidth="1"/>
    <col min="6659" max="6659" width="16.42578125" style="51" bestFit="1" customWidth="1"/>
    <col min="6660" max="6661" width="9.140625" style="51"/>
    <col min="6662" max="6662" width="10.140625" style="51" bestFit="1" customWidth="1"/>
    <col min="6663" max="6912" width="9.140625" style="51"/>
    <col min="6913" max="6913" width="25.42578125" style="51" customWidth="1"/>
    <col min="6914" max="6914" width="26.140625" style="51" bestFit="1" customWidth="1"/>
    <col min="6915" max="6915" width="16.42578125" style="51" bestFit="1" customWidth="1"/>
    <col min="6916" max="6917" width="9.140625" style="51"/>
    <col min="6918" max="6918" width="10.140625" style="51" bestFit="1" customWidth="1"/>
    <col min="6919" max="7168" width="9.140625" style="51"/>
    <col min="7169" max="7169" width="25.42578125" style="51" customWidth="1"/>
    <col min="7170" max="7170" width="26.140625" style="51" bestFit="1" customWidth="1"/>
    <col min="7171" max="7171" width="16.42578125" style="51" bestFit="1" customWidth="1"/>
    <col min="7172" max="7173" width="9.140625" style="51"/>
    <col min="7174" max="7174" width="10.140625" style="51" bestFit="1" customWidth="1"/>
    <col min="7175" max="7424" width="9.140625" style="51"/>
    <col min="7425" max="7425" width="25.42578125" style="51" customWidth="1"/>
    <col min="7426" max="7426" width="26.140625" style="51" bestFit="1" customWidth="1"/>
    <col min="7427" max="7427" width="16.42578125" style="51" bestFit="1" customWidth="1"/>
    <col min="7428" max="7429" width="9.140625" style="51"/>
    <col min="7430" max="7430" width="10.140625" style="51" bestFit="1" customWidth="1"/>
    <col min="7431" max="7680" width="9.140625" style="51"/>
    <col min="7681" max="7681" width="25.42578125" style="51" customWidth="1"/>
    <col min="7682" max="7682" width="26.140625" style="51" bestFit="1" customWidth="1"/>
    <col min="7683" max="7683" width="16.42578125" style="51" bestFit="1" customWidth="1"/>
    <col min="7684" max="7685" width="9.140625" style="51"/>
    <col min="7686" max="7686" width="10.140625" style="51" bestFit="1" customWidth="1"/>
    <col min="7687" max="7936" width="9.140625" style="51"/>
    <col min="7937" max="7937" width="25.42578125" style="51" customWidth="1"/>
    <col min="7938" max="7938" width="26.140625" style="51" bestFit="1" customWidth="1"/>
    <col min="7939" max="7939" width="16.42578125" style="51" bestFit="1" customWidth="1"/>
    <col min="7940" max="7941" width="9.140625" style="51"/>
    <col min="7942" max="7942" width="10.140625" style="51" bestFit="1" customWidth="1"/>
    <col min="7943" max="8192" width="9.140625" style="51"/>
    <col min="8193" max="8193" width="25.42578125" style="51" customWidth="1"/>
    <col min="8194" max="8194" width="26.140625" style="51" bestFit="1" customWidth="1"/>
    <col min="8195" max="8195" width="16.42578125" style="51" bestFit="1" customWidth="1"/>
    <col min="8196" max="8197" width="9.140625" style="51"/>
    <col min="8198" max="8198" width="10.140625" style="51" bestFit="1" customWidth="1"/>
    <col min="8199" max="8448" width="9.140625" style="51"/>
    <col min="8449" max="8449" width="25.42578125" style="51" customWidth="1"/>
    <col min="8450" max="8450" width="26.140625" style="51" bestFit="1" customWidth="1"/>
    <col min="8451" max="8451" width="16.42578125" style="51" bestFit="1" customWidth="1"/>
    <col min="8452" max="8453" width="9.140625" style="51"/>
    <col min="8454" max="8454" width="10.140625" style="51" bestFit="1" customWidth="1"/>
    <col min="8455" max="8704" width="9.140625" style="51"/>
    <col min="8705" max="8705" width="25.42578125" style="51" customWidth="1"/>
    <col min="8706" max="8706" width="26.140625" style="51" bestFit="1" customWidth="1"/>
    <col min="8707" max="8707" width="16.42578125" style="51" bestFit="1" customWidth="1"/>
    <col min="8708" max="8709" width="9.140625" style="51"/>
    <col min="8710" max="8710" width="10.140625" style="51" bestFit="1" customWidth="1"/>
    <col min="8711" max="8960" width="9.140625" style="51"/>
    <col min="8961" max="8961" width="25.42578125" style="51" customWidth="1"/>
    <col min="8962" max="8962" width="26.140625" style="51" bestFit="1" customWidth="1"/>
    <col min="8963" max="8963" width="16.42578125" style="51" bestFit="1" customWidth="1"/>
    <col min="8964" max="8965" width="9.140625" style="51"/>
    <col min="8966" max="8966" width="10.140625" style="51" bestFit="1" customWidth="1"/>
    <col min="8967" max="9216" width="9.140625" style="51"/>
    <col min="9217" max="9217" width="25.42578125" style="51" customWidth="1"/>
    <col min="9218" max="9218" width="26.140625" style="51" bestFit="1" customWidth="1"/>
    <col min="9219" max="9219" width="16.42578125" style="51" bestFit="1" customWidth="1"/>
    <col min="9220" max="9221" width="9.140625" style="51"/>
    <col min="9222" max="9222" width="10.140625" style="51" bestFit="1" customWidth="1"/>
    <col min="9223" max="9472" width="9.140625" style="51"/>
    <col min="9473" max="9473" width="25.42578125" style="51" customWidth="1"/>
    <col min="9474" max="9474" width="26.140625" style="51" bestFit="1" customWidth="1"/>
    <col min="9475" max="9475" width="16.42578125" style="51" bestFit="1" customWidth="1"/>
    <col min="9476" max="9477" width="9.140625" style="51"/>
    <col min="9478" max="9478" width="10.140625" style="51" bestFit="1" customWidth="1"/>
    <col min="9479" max="9728" width="9.140625" style="51"/>
    <col min="9729" max="9729" width="25.42578125" style="51" customWidth="1"/>
    <col min="9730" max="9730" width="26.140625" style="51" bestFit="1" customWidth="1"/>
    <col min="9731" max="9731" width="16.42578125" style="51" bestFit="1" customWidth="1"/>
    <col min="9732" max="9733" width="9.140625" style="51"/>
    <col min="9734" max="9734" width="10.140625" style="51" bestFit="1" customWidth="1"/>
    <col min="9735" max="9984" width="9.140625" style="51"/>
    <col min="9985" max="9985" width="25.42578125" style="51" customWidth="1"/>
    <col min="9986" max="9986" width="26.140625" style="51" bestFit="1" customWidth="1"/>
    <col min="9987" max="9987" width="16.42578125" style="51" bestFit="1" customWidth="1"/>
    <col min="9988" max="9989" width="9.140625" style="51"/>
    <col min="9990" max="9990" width="10.140625" style="51" bestFit="1" customWidth="1"/>
    <col min="9991" max="10240" width="9.140625" style="51"/>
    <col min="10241" max="10241" width="25.42578125" style="51" customWidth="1"/>
    <col min="10242" max="10242" width="26.140625" style="51" bestFit="1" customWidth="1"/>
    <col min="10243" max="10243" width="16.42578125" style="51" bestFit="1" customWidth="1"/>
    <col min="10244" max="10245" width="9.140625" style="51"/>
    <col min="10246" max="10246" width="10.140625" style="51" bestFit="1" customWidth="1"/>
    <col min="10247" max="10496" width="9.140625" style="51"/>
    <col min="10497" max="10497" width="25.42578125" style="51" customWidth="1"/>
    <col min="10498" max="10498" width="26.140625" style="51" bestFit="1" customWidth="1"/>
    <col min="10499" max="10499" width="16.42578125" style="51" bestFit="1" customWidth="1"/>
    <col min="10500" max="10501" width="9.140625" style="51"/>
    <col min="10502" max="10502" width="10.140625" style="51" bestFit="1" customWidth="1"/>
    <col min="10503" max="10752" width="9.140625" style="51"/>
    <col min="10753" max="10753" width="25.42578125" style="51" customWidth="1"/>
    <col min="10754" max="10754" width="26.140625" style="51" bestFit="1" customWidth="1"/>
    <col min="10755" max="10755" width="16.42578125" style="51" bestFit="1" customWidth="1"/>
    <col min="10756" max="10757" width="9.140625" style="51"/>
    <col min="10758" max="10758" width="10.140625" style="51" bestFit="1" customWidth="1"/>
    <col min="10759" max="11008" width="9.140625" style="51"/>
    <col min="11009" max="11009" width="25.42578125" style="51" customWidth="1"/>
    <col min="11010" max="11010" width="26.140625" style="51" bestFit="1" customWidth="1"/>
    <col min="11011" max="11011" width="16.42578125" style="51" bestFit="1" customWidth="1"/>
    <col min="11012" max="11013" width="9.140625" style="51"/>
    <col min="11014" max="11014" width="10.140625" style="51" bestFit="1" customWidth="1"/>
    <col min="11015" max="11264" width="9.140625" style="51"/>
    <col min="11265" max="11265" width="25.42578125" style="51" customWidth="1"/>
    <col min="11266" max="11266" width="26.140625" style="51" bestFit="1" customWidth="1"/>
    <col min="11267" max="11267" width="16.42578125" style="51" bestFit="1" customWidth="1"/>
    <col min="11268" max="11269" width="9.140625" style="51"/>
    <col min="11270" max="11270" width="10.140625" style="51" bestFit="1" customWidth="1"/>
    <col min="11271" max="11520" width="9.140625" style="51"/>
    <col min="11521" max="11521" width="25.42578125" style="51" customWidth="1"/>
    <col min="11522" max="11522" width="26.140625" style="51" bestFit="1" customWidth="1"/>
    <col min="11523" max="11523" width="16.42578125" style="51" bestFit="1" customWidth="1"/>
    <col min="11524" max="11525" width="9.140625" style="51"/>
    <col min="11526" max="11526" width="10.140625" style="51" bestFit="1" customWidth="1"/>
    <col min="11527" max="11776" width="9.140625" style="51"/>
    <col min="11777" max="11777" width="25.42578125" style="51" customWidth="1"/>
    <col min="11778" max="11778" width="26.140625" style="51" bestFit="1" customWidth="1"/>
    <col min="11779" max="11779" width="16.42578125" style="51" bestFit="1" customWidth="1"/>
    <col min="11780" max="11781" width="9.140625" style="51"/>
    <col min="11782" max="11782" width="10.140625" style="51" bestFit="1" customWidth="1"/>
    <col min="11783" max="12032" width="9.140625" style="51"/>
    <col min="12033" max="12033" width="25.42578125" style="51" customWidth="1"/>
    <col min="12034" max="12034" width="26.140625" style="51" bestFit="1" customWidth="1"/>
    <col min="12035" max="12035" width="16.42578125" style="51" bestFit="1" customWidth="1"/>
    <col min="12036" max="12037" width="9.140625" style="51"/>
    <col min="12038" max="12038" width="10.140625" style="51" bestFit="1" customWidth="1"/>
    <col min="12039" max="12288" width="9.140625" style="51"/>
    <col min="12289" max="12289" width="25.42578125" style="51" customWidth="1"/>
    <col min="12290" max="12290" width="26.140625" style="51" bestFit="1" customWidth="1"/>
    <col min="12291" max="12291" width="16.42578125" style="51" bestFit="1" customWidth="1"/>
    <col min="12292" max="12293" width="9.140625" style="51"/>
    <col min="12294" max="12294" width="10.140625" style="51" bestFit="1" customWidth="1"/>
    <col min="12295" max="12544" width="9.140625" style="51"/>
    <col min="12545" max="12545" width="25.42578125" style="51" customWidth="1"/>
    <col min="12546" max="12546" width="26.140625" style="51" bestFit="1" customWidth="1"/>
    <col min="12547" max="12547" width="16.42578125" style="51" bestFit="1" customWidth="1"/>
    <col min="12548" max="12549" width="9.140625" style="51"/>
    <col min="12550" max="12550" width="10.140625" style="51" bestFit="1" customWidth="1"/>
    <col min="12551" max="12800" width="9.140625" style="51"/>
    <col min="12801" max="12801" width="25.42578125" style="51" customWidth="1"/>
    <col min="12802" max="12802" width="26.140625" style="51" bestFit="1" customWidth="1"/>
    <col min="12803" max="12803" width="16.42578125" style="51" bestFit="1" customWidth="1"/>
    <col min="12804" max="12805" width="9.140625" style="51"/>
    <col min="12806" max="12806" width="10.140625" style="51" bestFit="1" customWidth="1"/>
    <col min="12807" max="13056" width="9.140625" style="51"/>
    <col min="13057" max="13057" width="25.42578125" style="51" customWidth="1"/>
    <col min="13058" max="13058" width="26.140625" style="51" bestFit="1" customWidth="1"/>
    <col min="13059" max="13059" width="16.42578125" style="51" bestFit="1" customWidth="1"/>
    <col min="13060" max="13061" width="9.140625" style="51"/>
    <col min="13062" max="13062" width="10.140625" style="51" bestFit="1" customWidth="1"/>
    <col min="13063" max="13312" width="9.140625" style="51"/>
    <col min="13313" max="13313" width="25.42578125" style="51" customWidth="1"/>
    <col min="13314" max="13314" width="26.140625" style="51" bestFit="1" customWidth="1"/>
    <col min="13315" max="13315" width="16.42578125" style="51" bestFit="1" customWidth="1"/>
    <col min="13316" max="13317" width="9.140625" style="51"/>
    <col min="13318" max="13318" width="10.140625" style="51" bestFit="1" customWidth="1"/>
    <col min="13319" max="13568" width="9.140625" style="51"/>
    <col min="13569" max="13569" width="25.42578125" style="51" customWidth="1"/>
    <col min="13570" max="13570" width="26.140625" style="51" bestFit="1" customWidth="1"/>
    <col min="13571" max="13571" width="16.42578125" style="51" bestFit="1" customWidth="1"/>
    <col min="13572" max="13573" width="9.140625" style="51"/>
    <col min="13574" max="13574" width="10.140625" style="51" bestFit="1" customWidth="1"/>
    <col min="13575" max="13824" width="9.140625" style="51"/>
    <col min="13825" max="13825" width="25.42578125" style="51" customWidth="1"/>
    <col min="13826" max="13826" width="26.140625" style="51" bestFit="1" customWidth="1"/>
    <col min="13827" max="13827" width="16.42578125" style="51" bestFit="1" customWidth="1"/>
    <col min="13828" max="13829" width="9.140625" style="51"/>
    <col min="13830" max="13830" width="10.140625" style="51" bestFit="1" customWidth="1"/>
    <col min="13831" max="14080" width="9.140625" style="51"/>
    <col min="14081" max="14081" width="25.42578125" style="51" customWidth="1"/>
    <col min="14082" max="14082" width="26.140625" style="51" bestFit="1" customWidth="1"/>
    <col min="14083" max="14083" width="16.42578125" style="51" bestFit="1" customWidth="1"/>
    <col min="14084" max="14085" width="9.140625" style="51"/>
    <col min="14086" max="14086" width="10.140625" style="51" bestFit="1" customWidth="1"/>
    <col min="14087" max="14336" width="9.140625" style="51"/>
    <col min="14337" max="14337" width="25.42578125" style="51" customWidth="1"/>
    <col min="14338" max="14338" width="26.140625" style="51" bestFit="1" customWidth="1"/>
    <col min="14339" max="14339" width="16.42578125" style="51" bestFit="1" customWidth="1"/>
    <col min="14340" max="14341" width="9.140625" style="51"/>
    <col min="14342" max="14342" width="10.140625" style="51" bestFit="1" customWidth="1"/>
    <col min="14343" max="14592" width="9.140625" style="51"/>
    <col min="14593" max="14593" width="25.42578125" style="51" customWidth="1"/>
    <col min="14594" max="14594" width="26.140625" style="51" bestFit="1" customWidth="1"/>
    <col min="14595" max="14595" width="16.42578125" style="51" bestFit="1" customWidth="1"/>
    <col min="14596" max="14597" width="9.140625" style="51"/>
    <col min="14598" max="14598" width="10.140625" style="51" bestFit="1" customWidth="1"/>
    <col min="14599" max="14848" width="9.140625" style="51"/>
    <col min="14849" max="14849" width="25.42578125" style="51" customWidth="1"/>
    <col min="14850" max="14850" width="26.140625" style="51" bestFit="1" customWidth="1"/>
    <col min="14851" max="14851" width="16.42578125" style="51" bestFit="1" customWidth="1"/>
    <col min="14852" max="14853" width="9.140625" style="51"/>
    <col min="14854" max="14854" width="10.140625" style="51" bestFit="1" customWidth="1"/>
    <col min="14855" max="15104" width="9.140625" style="51"/>
    <col min="15105" max="15105" width="25.42578125" style="51" customWidth="1"/>
    <col min="15106" max="15106" width="26.140625" style="51" bestFit="1" customWidth="1"/>
    <col min="15107" max="15107" width="16.42578125" style="51" bestFit="1" customWidth="1"/>
    <col min="15108" max="15109" width="9.140625" style="51"/>
    <col min="15110" max="15110" width="10.140625" style="51" bestFit="1" customWidth="1"/>
    <col min="15111" max="15360" width="9.140625" style="51"/>
    <col min="15361" max="15361" width="25.42578125" style="51" customWidth="1"/>
    <col min="15362" max="15362" width="26.140625" style="51" bestFit="1" customWidth="1"/>
    <col min="15363" max="15363" width="16.42578125" style="51" bestFit="1" customWidth="1"/>
    <col min="15364" max="15365" width="9.140625" style="51"/>
    <col min="15366" max="15366" width="10.140625" style="51" bestFit="1" customWidth="1"/>
    <col min="15367" max="15616" width="9.140625" style="51"/>
    <col min="15617" max="15617" width="25.42578125" style="51" customWidth="1"/>
    <col min="15618" max="15618" width="26.140625" style="51" bestFit="1" customWidth="1"/>
    <col min="15619" max="15619" width="16.42578125" style="51" bestFit="1" customWidth="1"/>
    <col min="15620" max="15621" width="9.140625" style="51"/>
    <col min="15622" max="15622" width="10.140625" style="51" bestFit="1" customWidth="1"/>
    <col min="15623" max="15872" width="9.140625" style="51"/>
    <col min="15873" max="15873" width="25.42578125" style="51" customWidth="1"/>
    <col min="15874" max="15874" width="26.140625" style="51" bestFit="1" customWidth="1"/>
    <col min="15875" max="15875" width="16.42578125" style="51" bestFit="1" customWidth="1"/>
    <col min="15876" max="15877" width="9.140625" style="51"/>
    <col min="15878" max="15878" width="10.140625" style="51" bestFit="1" customWidth="1"/>
    <col min="15879" max="16128" width="9.140625" style="51"/>
    <col min="16129" max="16129" width="25.42578125" style="51" customWidth="1"/>
    <col min="16130" max="16130" width="26.140625" style="51" bestFit="1" customWidth="1"/>
    <col min="16131" max="16131" width="16.42578125" style="51" bestFit="1" customWidth="1"/>
    <col min="16132" max="16133" width="9.140625" style="51"/>
    <col min="16134" max="16134" width="10.140625" style="51" bestFit="1" customWidth="1"/>
    <col min="16135" max="16384" width="9.140625" style="51"/>
  </cols>
  <sheetData>
    <row r="2" spans="1:7">
      <c r="A2" s="50" t="s">
        <v>30</v>
      </c>
      <c r="F2" s="50" t="s">
        <v>31</v>
      </c>
    </row>
    <row r="4" spans="1:7">
      <c r="A4" s="52" t="s">
        <v>32</v>
      </c>
      <c r="B4" s="52" t="s">
        <v>33</v>
      </c>
      <c r="C4" s="53" t="s">
        <v>34</v>
      </c>
      <c r="F4" s="51" t="s">
        <v>35</v>
      </c>
    </row>
    <row r="5" spans="1:7">
      <c r="A5" s="54">
        <v>0</v>
      </c>
      <c r="B5" s="54">
        <v>65</v>
      </c>
      <c r="C5" s="55">
        <v>0.04</v>
      </c>
      <c r="F5" s="51" t="s">
        <v>36</v>
      </c>
    </row>
    <row r="6" spans="1:7">
      <c r="A6" s="54">
        <v>65</v>
      </c>
      <c r="B6" s="54">
        <v>75</v>
      </c>
      <c r="C6" s="56">
        <v>0.05</v>
      </c>
      <c r="F6" s="51" t="s">
        <v>37</v>
      </c>
    </row>
    <row r="7" spans="1:7">
      <c r="A7" s="54">
        <v>75</v>
      </c>
      <c r="B7" s="54">
        <v>80</v>
      </c>
      <c r="C7" s="56">
        <v>0.06</v>
      </c>
    </row>
    <row r="8" spans="1:7">
      <c r="A8" s="54">
        <v>80</v>
      </c>
      <c r="B8" s="54">
        <v>85</v>
      </c>
      <c r="C8" s="56">
        <v>7.0000000000000007E-2</v>
      </c>
    </row>
    <row r="9" spans="1:7">
      <c r="A9" s="54">
        <v>85</v>
      </c>
      <c r="B9" s="54">
        <v>90</v>
      </c>
      <c r="C9" s="56">
        <v>0.09</v>
      </c>
    </row>
    <row r="10" spans="1:7">
      <c r="A10" s="54">
        <v>90</v>
      </c>
      <c r="B10" s="54">
        <v>95</v>
      </c>
      <c r="C10" s="56">
        <v>0.11</v>
      </c>
    </row>
    <row r="11" spans="1:7">
      <c r="A11" s="57">
        <v>95</v>
      </c>
      <c r="B11" s="57">
        <v>150</v>
      </c>
      <c r="C11" s="58">
        <v>0.14000000000000001</v>
      </c>
    </row>
    <row r="14" spans="1:7">
      <c r="A14" s="50" t="s">
        <v>38</v>
      </c>
      <c r="F14" s="50" t="s">
        <v>39</v>
      </c>
    </row>
    <row r="16" spans="1:7">
      <c r="A16" s="59" t="s">
        <v>40</v>
      </c>
      <c r="B16" s="59" t="s">
        <v>41</v>
      </c>
      <c r="F16" s="50" t="s">
        <v>42</v>
      </c>
      <c r="G16" s="51">
        <v>365</v>
      </c>
    </row>
    <row r="17" spans="1:7">
      <c r="A17" s="60">
        <v>0</v>
      </c>
      <c r="B17" s="55">
        <v>1</v>
      </c>
      <c r="F17" s="50" t="s">
        <v>43</v>
      </c>
      <c r="G17" s="51">
        <v>366</v>
      </c>
    </row>
    <row r="18" spans="1:7">
      <c r="A18" s="54">
        <v>1</v>
      </c>
      <c r="B18" s="56">
        <v>1</v>
      </c>
      <c r="F18" s="50" t="s">
        <v>44</v>
      </c>
      <c r="G18" s="51">
        <v>365</v>
      </c>
    </row>
    <row r="19" spans="1:7">
      <c r="A19" s="54">
        <v>2</v>
      </c>
      <c r="B19" s="56">
        <v>1.9</v>
      </c>
    </row>
    <row r="20" spans="1:7">
      <c r="A20" s="54">
        <v>3</v>
      </c>
      <c r="B20" s="56">
        <v>2.8</v>
      </c>
    </row>
    <row r="21" spans="1:7">
      <c r="A21" s="54">
        <v>4</v>
      </c>
      <c r="B21" s="56">
        <v>3.67</v>
      </c>
    </row>
    <row r="22" spans="1:7">
      <c r="A22" s="54">
        <v>5</v>
      </c>
      <c r="B22" s="56">
        <v>4.5199999999999996</v>
      </c>
    </row>
    <row r="23" spans="1:7">
      <c r="A23" s="54">
        <v>6</v>
      </c>
      <c r="B23" s="56">
        <v>5.33</v>
      </c>
    </row>
    <row r="24" spans="1:7">
      <c r="A24" s="54">
        <v>7</v>
      </c>
      <c r="B24" s="56">
        <v>6.11</v>
      </c>
      <c r="F24" s="50" t="s">
        <v>45</v>
      </c>
    </row>
    <row r="25" spans="1:7">
      <c r="A25" s="54">
        <v>8</v>
      </c>
      <c r="B25" s="56">
        <v>6.87</v>
      </c>
    </row>
    <row r="26" spans="1:7">
      <c r="A26" s="54">
        <v>9</v>
      </c>
      <c r="B26" s="56">
        <v>7.61</v>
      </c>
      <c r="F26" s="61">
        <v>39345</v>
      </c>
    </row>
    <row r="27" spans="1:7">
      <c r="A27" s="54">
        <v>10</v>
      </c>
      <c r="B27" s="56">
        <v>8.32</v>
      </c>
    </row>
    <row r="28" spans="1:7">
      <c r="A28" s="54">
        <v>11</v>
      </c>
      <c r="B28" s="56">
        <v>9</v>
      </c>
    </row>
    <row r="29" spans="1:7">
      <c r="A29" s="54">
        <v>12</v>
      </c>
      <c r="B29" s="56">
        <v>9.66</v>
      </c>
    </row>
    <row r="30" spans="1:7">
      <c r="A30" s="54">
        <v>13</v>
      </c>
      <c r="B30" s="56">
        <v>10.3</v>
      </c>
    </row>
    <row r="31" spans="1:7">
      <c r="A31" s="54">
        <v>14</v>
      </c>
      <c r="B31" s="56">
        <v>10.92</v>
      </c>
    </row>
    <row r="32" spans="1:7">
      <c r="A32" s="54">
        <v>15</v>
      </c>
      <c r="B32" s="56">
        <v>11.52</v>
      </c>
    </row>
    <row r="33" spans="1:2">
      <c r="A33" s="54">
        <v>16</v>
      </c>
      <c r="B33" s="56">
        <v>12.09</v>
      </c>
    </row>
    <row r="34" spans="1:2">
      <c r="A34" s="54">
        <v>17</v>
      </c>
      <c r="B34" s="56">
        <v>12.65</v>
      </c>
    </row>
    <row r="35" spans="1:2">
      <c r="A35" s="54">
        <v>18</v>
      </c>
      <c r="B35" s="56">
        <v>13.19</v>
      </c>
    </row>
    <row r="36" spans="1:2">
      <c r="A36" s="54">
        <v>19</v>
      </c>
      <c r="B36" s="56">
        <v>13.71</v>
      </c>
    </row>
    <row r="37" spans="1:2">
      <c r="A37" s="54">
        <v>20</v>
      </c>
      <c r="B37" s="56">
        <v>14.21</v>
      </c>
    </row>
    <row r="38" spans="1:2">
      <c r="A38" s="54">
        <v>21</v>
      </c>
      <c r="B38" s="56">
        <v>14.7</v>
      </c>
    </row>
    <row r="39" spans="1:2">
      <c r="A39" s="54">
        <v>22</v>
      </c>
      <c r="B39" s="56">
        <v>15.17</v>
      </c>
    </row>
    <row r="40" spans="1:2">
      <c r="A40" s="54">
        <v>23</v>
      </c>
      <c r="B40" s="56">
        <v>15.62</v>
      </c>
    </row>
    <row r="41" spans="1:2">
      <c r="A41" s="54">
        <v>24</v>
      </c>
      <c r="B41" s="56">
        <v>16.059999999999999</v>
      </c>
    </row>
    <row r="42" spans="1:2">
      <c r="A42" s="54">
        <v>25</v>
      </c>
      <c r="B42" s="56">
        <v>16.48</v>
      </c>
    </row>
    <row r="43" spans="1:2">
      <c r="A43" s="54">
        <v>26</v>
      </c>
      <c r="B43" s="56">
        <v>16.89</v>
      </c>
    </row>
    <row r="44" spans="1:2">
      <c r="A44" s="54">
        <v>27</v>
      </c>
      <c r="B44" s="56">
        <v>17.29</v>
      </c>
    </row>
    <row r="45" spans="1:2">
      <c r="A45" s="54">
        <v>28</v>
      </c>
      <c r="B45" s="56">
        <v>17.670000000000002</v>
      </c>
    </row>
    <row r="46" spans="1:2">
      <c r="A46" s="54">
        <v>29</v>
      </c>
      <c r="B46" s="56">
        <v>18.04</v>
      </c>
    </row>
    <row r="47" spans="1:2">
      <c r="A47" s="54">
        <v>30</v>
      </c>
      <c r="B47" s="56">
        <v>18.39</v>
      </c>
    </row>
    <row r="48" spans="1:2">
      <c r="A48" s="54">
        <v>31</v>
      </c>
      <c r="B48" s="56">
        <v>18.739999999999998</v>
      </c>
    </row>
    <row r="49" spans="1:2">
      <c r="A49" s="54">
        <v>32</v>
      </c>
      <c r="B49" s="56">
        <v>19.07</v>
      </c>
    </row>
    <row r="50" spans="1:2">
      <c r="A50" s="54">
        <v>33</v>
      </c>
      <c r="B50" s="56">
        <v>19.39</v>
      </c>
    </row>
    <row r="51" spans="1:2">
      <c r="A51" s="54">
        <v>34</v>
      </c>
      <c r="B51" s="56">
        <v>19.7</v>
      </c>
    </row>
    <row r="52" spans="1:2">
      <c r="A52" s="54">
        <v>35</v>
      </c>
      <c r="B52" s="56">
        <v>20</v>
      </c>
    </row>
    <row r="53" spans="1:2">
      <c r="A53" s="54">
        <v>36</v>
      </c>
      <c r="B53" s="56">
        <v>20.29</v>
      </c>
    </row>
    <row r="54" spans="1:2">
      <c r="A54" s="54">
        <v>37</v>
      </c>
      <c r="B54" s="56">
        <v>20.57</v>
      </c>
    </row>
    <row r="55" spans="1:2">
      <c r="A55" s="54">
        <v>38</v>
      </c>
      <c r="B55" s="56">
        <v>20.84</v>
      </c>
    </row>
    <row r="56" spans="1:2">
      <c r="A56" s="54">
        <v>39</v>
      </c>
      <c r="B56" s="56">
        <v>21.1</v>
      </c>
    </row>
    <row r="57" spans="1:2">
      <c r="A57" s="54">
        <v>40</v>
      </c>
      <c r="B57" s="56">
        <v>21.36</v>
      </c>
    </row>
    <row r="58" spans="1:2">
      <c r="A58" s="54">
        <v>41</v>
      </c>
      <c r="B58" s="56">
        <v>21.6</v>
      </c>
    </row>
    <row r="59" spans="1:2">
      <c r="A59" s="54">
        <v>42</v>
      </c>
      <c r="B59" s="56">
        <v>21.83</v>
      </c>
    </row>
    <row r="60" spans="1:2">
      <c r="A60" s="54">
        <v>43</v>
      </c>
      <c r="B60" s="56">
        <v>22.06</v>
      </c>
    </row>
    <row r="61" spans="1:2">
      <c r="A61" s="54">
        <v>44</v>
      </c>
      <c r="B61" s="56">
        <v>22.28</v>
      </c>
    </row>
    <row r="62" spans="1:2">
      <c r="A62" s="54">
        <v>45</v>
      </c>
      <c r="B62" s="56">
        <v>22.5</v>
      </c>
    </row>
    <row r="63" spans="1:2">
      <c r="A63" s="54">
        <v>46</v>
      </c>
      <c r="B63" s="56">
        <v>22.7</v>
      </c>
    </row>
    <row r="64" spans="1:2">
      <c r="A64" s="54">
        <v>47</v>
      </c>
      <c r="B64" s="56">
        <v>22.9</v>
      </c>
    </row>
    <row r="65" spans="1:2">
      <c r="A65" s="54">
        <v>48</v>
      </c>
      <c r="B65" s="56">
        <v>23.09</v>
      </c>
    </row>
    <row r="66" spans="1:2">
      <c r="A66" s="54">
        <v>49</v>
      </c>
      <c r="B66" s="56">
        <v>23.28</v>
      </c>
    </row>
    <row r="67" spans="1:2">
      <c r="A67" s="54">
        <v>50</v>
      </c>
      <c r="B67" s="56">
        <v>23.46</v>
      </c>
    </row>
    <row r="68" spans="1:2">
      <c r="A68" s="54">
        <v>51</v>
      </c>
      <c r="B68" s="56">
        <v>23.63</v>
      </c>
    </row>
    <row r="69" spans="1:2">
      <c r="A69" s="54">
        <v>52</v>
      </c>
      <c r="B69" s="56">
        <v>23.8</v>
      </c>
    </row>
    <row r="70" spans="1:2">
      <c r="A70" s="54">
        <v>53</v>
      </c>
      <c r="B70" s="56">
        <v>23.96</v>
      </c>
    </row>
    <row r="71" spans="1:2">
      <c r="A71" s="54">
        <v>54</v>
      </c>
      <c r="B71" s="56">
        <v>24.11</v>
      </c>
    </row>
    <row r="72" spans="1:2">
      <c r="A72" s="54">
        <v>55</v>
      </c>
      <c r="B72" s="56">
        <v>24.26</v>
      </c>
    </row>
    <row r="73" spans="1:2">
      <c r="A73" s="54">
        <v>56</v>
      </c>
      <c r="B73" s="56">
        <v>24.41</v>
      </c>
    </row>
    <row r="74" spans="1:2">
      <c r="A74" s="54">
        <v>57</v>
      </c>
      <c r="B74" s="56">
        <v>24.55</v>
      </c>
    </row>
    <row r="75" spans="1:2">
      <c r="A75" s="54">
        <v>58</v>
      </c>
      <c r="B75" s="56">
        <v>24.69</v>
      </c>
    </row>
    <row r="76" spans="1:2">
      <c r="A76" s="54">
        <v>59</v>
      </c>
      <c r="B76" s="56">
        <v>24.82</v>
      </c>
    </row>
    <row r="77" spans="1:2">
      <c r="A77" s="54">
        <v>60</v>
      </c>
      <c r="B77" s="56">
        <v>24.94</v>
      </c>
    </row>
    <row r="78" spans="1:2">
      <c r="A78" s="54">
        <v>61</v>
      </c>
      <c r="B78" s="56">
        <v>25.07</v>
      </c>
    </row>
    <row r="79" spans="1:2">
      <c r="A79" s="54">
        <v>62</v>
      </c>
      <c r="B79" s="56">
        <v>25.19</v>
      </c>
    </row>
    <row r="80" spans="1:2">
      <c r="A80" s="54">
        <v>63</v>
      </c>
      <c r="B80" s="56">
        <v>25.3</v>
      </c>
    </row>
    <row r="81" spans="1:2">
      <c r="A81" s="54">
        <v>64</v>
      </c>
      <c r="B81" s="56">
        <v>25.41</v>
      </c>
    </row>
    <row r="82" spans="1:2">
      <c r="A82" s="54">
        <v>65</v>
      </c>
      <c r="B82" s="56">
        <v>25.52</v>
      </c>
    </row>
    <row r="83" spans="1:2">
      <c r="A83" s="54">
        <v>66</v>
      </c>
      <c r="B83" s="56">
        <v>25.62</v>
      </c>
    </row>
    <row r="84" spans="1:2">
      <c r="A84" s="54">
        <v>67</v>
      </c>
      <c r="B84" s="56">
        <v>25.72</v>
      </c>
    </row>
    <row r="85" spans="1:2">
      <c r="A85" s="54">
        <v>68</v>
      </c>
      <c r="B85" s="56">
        <v>25.82</v>
      </c>
    </row>
    <row r="86" spans="1:2">
      <c r="A86" s="54">
        <v>69</v>
      </c>
      <c r="B86" s="56">
        <v>25.91</v>
      </c>
    </row>
    <row r="87" spans="1:2">
      <c r="A87" s="57">
        <v>70</v>
      </c>
      <c r="B87" s="58">
        <v>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A44"/>
  <sheetViews>
    <sheetView workbookViewId="0">
      <selection activeCell="A2" sqref="A2"/>
    </sheetView>
  </sheetViews>
  <sheetFormatPr defaultRowHeight="15"/>
  <sheetData>
    <row r="4" spans="1:1">
      <c r="A4" t="s">
        <v>149</v>
      </c>
    </row>
    <row r="5" spans="1:1">
      <c r="A5" t="s">
        <v>150</v>
      </c>
    </row>
    <row r="6" spans="1:1">
      <c r="A6" t="s">
        <v>151</v>
      </c>
    </row>
    <row r="7" spans="1:1">
      <c r="A7" t="s">
        <v>152</v>
      </c>
    </row>
    <row r="8" spans="1:1">
      <c r="A8" t="s">
        <v>153</v>
      </c>
    </row>
    <row r="10" spans="1:1">
      <c r="A10" t="s">
        <v>154</v>
      </c>
    </row>
    <row r="11" spans="1:1">
      <c r="A11" t="s">
        <v>155</v>
      </c>
    </row>
    <row r="13" spans="1:1">
      <c r="A13" t="s">
        <v>156</v>
      </c>
    </row>
    <row r="14" spans="1:1">
      <c r="A14" t="s">
        <v>157</v>
      </c>
    </row>
    <row r="16" spans="1:1">
      <c r="A16" t="s">
        <v>158</v>
      </c>
    </row>
    <row r="17" spans="1:1">
      <c r="A17" t="s">
        <v>159</v>
      </c>
    </row>
    <row r="18" spans="1:1">
      <c r="A18" t="s">
        <v>160</v>
      </c>
    </row>
    <row r="19" spans="1:1">
      <c r="A19" t="s">
        <v>161</v>
      </c>
    </row>
    <row r="20" spans="1:1">
      <c r="A20" t="s">
        <v>162</v>
      </c>
    </row>
    <row r="22" spans="1:1">
      <c r="A22" t="s">
        <v>163</v>
      </c>
    </row>
    <row r="23" spans="1:1">
      <c r="A23" t="s">
        <v>164</v>
      </c>
    </row>
    <row r="24" spans="1:1">
      <c r="A24" t="s">
        <v>165</v>
      </c>
    </row>
    <row r="25" spans="1:1">
      <c r="A25" t="s">
        <v>166</v>
      </c>
    </row>
    <row r="26" spans="1:1">
      <c r="A26" t="s">
        <v>167</v>
      </c>
    </row>
    <row r="27" spans="1:1">
      <c r="A27" t="s">
        <v>168</v>
      </c>
    </row>
    <row r="28" spans="1:1">
      <c r="A28" t="s">
        <v>169</v>
      </c>
    </row>
    <row r="29" spans="1:1">
      <c r="A29" t="s">
        <v>170</v>
      </c>
    </row>
    <row r="30" spans="1:1">
      <c r="A30" t="s">
        <v>171</v>
      </c>
    </row>
    <row r="31" spans="1:1">
      <c r="A31" t="s">
        <v>172</v>
      </c>
    </row>
    <row r="32" spans="1:1">
      <c r="A32" t="s">
        <v>173</v>
      </c>
    </row>
    <row r="34" spans="1:1">
      <c r="A34" t="s">
        <v>174</v>
      </c>
    </row>
    <row r="35" spans="1:1">
      <c r="A35" t="s">
        <v>175</v>
      </c>
    </row>
    <row r="37" spans="1:1">
      <c r="A37" t="s">
        <v>176</v>
      </c>
    </row>
    <row r="38" spans="1:1">
      <c r="A38" t="s">
        <v>177</v>
      </c>
    </row>
    <row r="39" spans="1:1">
      <c r="A39" t="s">
        <v>178</v>
      </c>
    </row>
    <row r="40" spans="1:1">
      <c r="A40" t="s">
        <v>179</v>
      </c>
    </row>
    <row r="41" spans="1:1">
      <c r="A41" t="s">
        <v>180</v>
      </c>
    </row>
    <row r="43" spans="1:1">
      <c r="A43" t="s">
        <v>181</v>
      </c>
    </row>
    <row r="44" spans="1:1">
      <c r="A44" t="s">
        <v>182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26</vt:i4>
      </vt:variant>
    </vt:vector>
  </HeadingPairs>
  <TitlesOfParts>
    <vt:vector size="34" baseType="lpstr">
      <vt:lpstr>Manual</vt:lpstr>
      <vt:lpstr>Input</vt:lpstr>
      <vt:lpstr>Output</vt:lpstr>
      <vt:lpstr>Methodology</vt:lpstr>
      <vt:lpstr>Calcs</vt:lpstr>
      <vt:lpstr>Pension 1</vt:lpstr>
      <vt:lpstr>Schedules &amp; Tables</vt:lpstr>
      <vt:lpstr>Useful code</vt:lpstr>
      <vt:lpstr>ALTUsed</vt:lpstr>
      <vt:lpstr>CommAmt</vt:lpstr>
      <vt:lpstr>CommDateDD</vt:lpstr>
      <vt:lpstr>CommDateMM</vt:lpstr>
      <vt:lpstr>CommDateYYYY</vt:lpstr>
      <vt:lpstr>DaysinFY</vt:lpstr>
      <vt:lpstr>DOBM1DD</vt:lpstr>
      <vt:lpstr>DOBM1MM</vt:lpstr>
      <vt:lpstr>DOBM1YYYY</vt:lpstr>
      <vt:lpstr>DOBM2DD</vt:lpstr>
      <vt:lpstr>DOBM2MM</vt:lpstr>
      <vt:lpstr>DOBM2YYYY</vt:lpstr>
      <vt:lpstr>GenderM1</vt:lpstr>
      <vt:lpstr>GenderM2</vt:lpstr>
      <vt:lpstr>IsReversionary</vt:lpstr>
      <vt:lpstr>M1Name</vt:lpstr>
      <vt:lpstr>MaxTermM1</vt:lpstr>
      <vt:lpstr>MaxTermM2</vt:lpstr>
      <vt:lpstr>MinTermM1</vt:lpstr>
      <vt:lpstr>MinTermM2</vt:lpstr>
      <vt:lpstr>MLPABPdate</vt:lpstr>
      <vt:lpstr>NameM1</vt:lpstr>
      <vt:lpstr>NameM2</vt:lpstr>
      <vt:lpstr>PensionTypes</vt:lpstr>
      <vt:lpstr>Schedule6</vt:lpstr>
      <vt:lpstr>Schedule7</vt:lpstr>
    </vt:vector>
  </TitlesOfParts>
  <Company>Challenger Limited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Jackson</dc:creator>
  <cp:lastModifiedBy>James Jackson</cp:lastModifiedBy>
  <dcterms:created xsi:type="dcterms:W3CDTF">2015-09-14T22:44:40Z</dcterms:created>
  <dcterms:modified xsi:type="dcterms:W3CDTF">2016-09-01T07:21:23Z</dcterms:modified>
</cp:coreProperties>
</file>